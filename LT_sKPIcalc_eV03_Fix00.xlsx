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fileSharing readOnlyRecommended="1" userName="_ext Nieto, Hugo Jahaziel" algorithmName="SHA-512" hashValue="XEfH/0Y/LB/PJNui08GkD1iWfio1ZQz70fB0YwXy2612EfyvgEOZcuAb8qtDQ9ghbQT3/c/db92VMXcKxgtvSQ==" saltValue="7Gtqy3+jUctnjMELKF+s3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\OneDrive\Escritorio\GitHub\Excel\"/>
    </mc:Choice>
  </mc:AlternateContent>
  <xr:revisionPtr revIDLastSave="0" documentId="13_ncr:10001_{40D144BC-48A8-451F-8A00-8A4A066FB3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" sheetId="9" r:id="rId1"/>
    <sheet name="IBase" sheetId="5" r:id="rId2"/>
  </sheets>
  <externalReferences>
    <externalReference r:id="rId3"/>
  </externalReferences>
  <definedNames>
    <definedName name="_xlnm._FilterDatabase" localSheetId="1" hidden="1">IBase!$A$1:$AQ$587</definedName>
    <definedName name="_xlnm._FilterDatabase" localSheetId="0" hidden="1">InPut!$H$3:$K$6</definedName>
    <definedName name="CCCC">[1]DATOS!$XEW$3:$XFD$9</definedName>
    <definedName name="estado">[1]DATOS!#REF!</definedName>
    <definedName name="HYPOCRISY">[1]Hoja5!$V$4:$AD$60</definedName>
  </definedNames>
  <calcPr calcId="181029"/>
</workbook>
</file>

<file path=xl/calcChain.xml><?xml version="1.0" encoding="utf-8"?>
<calcChain xmlns="http://schemas.openxmlformats.org/spreadsheetml/2006/main">
  <c r="C6" i="9" l="1"/>
  <c r="C5" i="9"/>
  <c r="C4" i="9"/>
  <c r="I2" i="9"/>
  <c r="AT1" i="9" s="1"/>
  <c r="AS1" i="9" s="1"/>
  <c r="AR1" i="9" s="1"/>
  <c r="AQ1" i="9" s="1"/>
  <c r="AP1" i="9" s="1"/>
  <c r="AO1" i="9" s="1"/>
  <c r="AN1" i="9" s="1"/>
  <c r="AM1" i="9" s="1"/>
  <c r="AL1" i="9" s="1"/>
  <c r="AK1" i="9" s="1"/>
  <c r="AJ1" i="9" s="1"/>
  <c r="AI1" i="9" s="1"/>
  <c r="AH1" i="9" s="1"/>
  <c r="AG1" i="9" s="1"/>
  <c r="AF1" i="9" s="1"/>
  <c r="AE1" i="9" s="1"/>
  <c r="AD1" i="9" s="1"/>
  <c r="AC1" i="9" s="1"/>
  <c r="AB1" i="9" s="1"/>
  <c r="AA1" i="9" s="1"/>
  <c r="Z1" i="9" s="1"/>
  <c r="Y1" i="9" s="1"/>
  <c r="X1" i="9" s="1"/>
  <c r="W1" i="9" s="1"/>
  <c r="V1" i="9" s="1"/>
  <c r="U1" i="9" s="1"/>
  <c r="T1" i="9" s="1"/>
  <c r="S1" i="9" s="1"/>
  <c r="R1" i="9" s="1"/>
  <c r="Q1" i="9" s="1"/>
  <c r="P1" i="9" s="1"/>
  <c r="O1" i="9" s="1"/>
  <c r="N1" i="9" s="1"/>
  <c r="M1" i="9" s="1"/>
  <c r="L1" i="9" s="1"/>
  <c r="AO6" i="9" l="1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G6" i="9" l="1"/>
  <c r="AS6" i="9" l="1"/>
  <c r="AR6" i="9"/>
  <c r="AQ6" i="9"/>
  <c r="J6" i="9"/>
  <c r="AP6" i="9" s="1"/>
  <c r="I6" i="9"/>
  <c r="K6" i="9"/>
  <c r="G5" i="9"/>
  <c r="G4" i="9"/>
  <c r="AO5" i="9" l="1"/>
  <c r="AC5" i="9"/>
  <c r="AN5" i="9"/>
  <c r="AP5" i="9"/>
  <c r="AM5" i="9"/>
  <c r="AL5" i="9"/>
  <c r="AS5" i="9"/>
  <c r="AQ5" i="9"/>
  <c r="AK5" i="9"/>
  <c r="AJ5" i="9"/>
  <c r="AR5" i="9"/>
  <c r="AE5" i="9"/>
  <c r="AI5" i="9"/>
  <c r="AH5" i="9"/>
  <c r="AG5" i="9"/>
  <c r="AF5" i="9"/>
  <c r="AD5" i="9"/>
  <c r="AT6" i="9"/>
  <c r="K5" i="9"/>
  <c r="J5" i="9"/>
  <c r="AB5" i="9" s="1"/>
  <c r="I5" i="9"/>
  <c r="K4" i="9"/>
  <c r="J4" i="9"/>
  <c r="I4" i="9"/>
  <c r="AT5" i="9" l="1"/>
  <c r="L4" i="9"/>
  <c r="M4" i="9" l="1"/>
  <c r="N4" i="9" l="1"/>
  <c r="O4" i="9" l="1"/>
  <c r="P4" i="9" l="1"/>
  <c r="Q4" i="9" l="1"/>
  <c r="R4" i="9" l="1"/>
  <c r="S4" i="9" l="1"/>
  <c r="T4" i="9" l="1"/>
  <c r="U4" i="9" l="1"/>
  <c r="V4" i="9" l="1"/>
  <c r="W4" i="9" l="1"/>
  <c r="X4" i="9" l="1"/>
  <c r="Y4" i="9" l="1"/>
  <c r="Z4" i="9" l="1"/>
  <c r="AA4" i="9" l="1"/>
  <c r="AB4" i="9" l="1"/>
  <c r="AC4" i="9" l="1"/>
  <c r="AD4" i="9" l="1"/>
  <c r="AE4" i="9" l="1"/>
  <c r="AF4" i="9" l="1"/>
  <c r="AG4" i="9" l="1"/>
  <c r="AH4" i="9" l="1"/>
  <c r="AI4" i="9" l="1"/>
  <c r="AJ4" i="9" l="1"/>
  <c r="AK4" i="9" l="1"/>
  <c r="AL4" i="9" l="1"/>
  <c r="AM4" i="9"/>
  <c r="AN4" i="9" l="1"/>
  <c r="AO4" i="9" l="1"/>
  <c r="AP4" i="9" l="1"/>
  <c r="AQ4" i="9" l="1"/>
  <c r="AR4" i="9" l="1"/>
  <c r="AS4" i="9" l="1"/>
  <c r="H6" i="9"/>
  <c r="H5" i="9" l="1"/>
  <c r="AT4" i="9"/>
  <c r="H4" i="9" s="1"/>
</calcChain>
</file>

<file path=xl/sharedStrings.xml><?xml version="1.0" encoding="utf-8"?>
<sst xmlns="http://schemas.openxmlformats.org/spreadsheetml/2006/main" count="148" uniqueCount="79">
  <si>
    <t>Ext-Out</t>
  </si>
  <si>
    <t>DiaCorrido</t>
  </si>
  <si>
    <t>Ext-IN</t>
  </si>
  <si>
    <t>ATM</t>
  </si>
  <si>
    <t>TICKET_KEY</t>
  </si>
  <si>
    <t>ATM2</t>
  </si>
  <si>
    <t>Fecha_fin</t>
  </si>
  <si>
    <t>Cálculo diario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</si>
  <si>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</si>
  <si>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</si>
  <si>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</si>
  <si>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</si>
  <si>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</si>
  <si>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</si>
  <si>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</si>
  <si>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</si>
  <si>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</si>
  <si>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</si>
  <si>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</si>
  <si>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</si>
  <si>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</si>
  <si>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</si>
  <si>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</si>
  <si>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</si>
  <si>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</si>
  <si>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</si>
  <si>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</si>
  <si>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</si>
  <si>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</si>
  <si>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</si>
  <si>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</si>
  <si>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</si>
  <si>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</si>
  <si>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</si>
  <si>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</si>
  <si>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</si>
  <si>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</si>
  <si>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</si>
  <si>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Ciudad</t>
  </si>
  <si>
    <t>Domicilio</t>
  </si>
  <si>
    <t>INPUT</t>
  </si>
  <si>
    <t>Cliente</t>
  </si>
  <si>
    <t>Atm</t>
  </si>
  <si>
    <t>Sitio</t>
  </si>
  <si>
    <t>Cp</t>
  </si>
  <si>
    <t>Estado</t>
  </si>
  <si>
    <t>Cs</t>
  </si>
  <si>
    <t>Cedula</t>
  </si>
  <si>
    <t>Serie</t>
  </si>
  <si>
    <t>Equipo</t>
  </si>
  <si>
    <t>Verify</t>
  </si>
  <si>
    <t>-</t>
  </si>
  <si>
    <t>Coverage</t>
  </si>
  <si>
    <t>24/7</t>
  </si>
  <si>
    <t>Id-DN</t>
  </si>
  <si>
    <t>Plataforma</t>
  </si>
  <si>
    <t>Traslado Estimado</t>
  </si>
  <si>
    <t>SLA.Travel</t>
  </si>
  <si>
    <t>SLA.Fix</t>
  </si>
  <si>
    <t>Cobertura/Atención</t>
  </si>
  <si>
    <t>--</t>
  </si>
  <si>
    <t>Knd</t>
  </si>
  <si>
    <t>VentanaUT</t>
  </si>
  <si>
    <t>D31</t>
  </si>
  <si>
    <t>D32</t>
  </si>
  <si>
    <t>D33</t>
  </si>
  <si>
    <t>D34</t>
  </si>
  <si>
    <t>D35</t>
  </si>
  <si>
    <t>Fecha_inicio</t>
  </si>
  <si>
    <t>V00124</t>
  </si>
  <si>
    <t>V00127</t>
  </si>
  <si>
    <t>V00136</t>
  </si>
  <si>
    <t>Cli1</t>
  </si>
  <si>
    <t>Cli2</t>
  </si>
  <si>
    <t>Cli3</t>
  </si>
  <si>
    <t>L-V(9-17)</t>
  </si>
  <si>
    <t>L-S(9-17)</t>
  </si>
  <si>
    <t>L-V(8-20),S-D(9-14)</t>
  </si>
  <si>
    <t>Ventana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</si>
</sst>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C00000"/>
      <name val="Arial"/>
      <family val="2"/>
    </font>
    <font>
      <sz val="8"/>
      <color theme="1"/>
      <name val="Arial"/>
      <family val="2"/>
    </font>
    <font>
      <b/>
      <sz val="22"/>
      <color theme="0"/>
      <name val="Arial"/>
      <family val="2"/>
    </font>
    <font>
      <sz val="8"/>
      <color rgb="FF0000FF"/>
      <name val="Arial"/>
      <family val="2"/>
    </font>
    <font>
      <sz val="11"/>
      <name val="Arial"/>
      <family val="2"/>
    </font>
    <font>
      <sz val="7"/>
      <color rgb="FF0000FF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0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2" fillId="0" borderId="0"/>
    <xf numFmtId="0" fontId="2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2" fontId="9" fillId="8" borderId="0" xfId="7" applyNumberFormat="1" applyFont="1" applyFill="1" applyAlignment="1">
      <alignment horizontal="left" vertical="center"/>
    </xf>
    <xf numFmtId="14" fontId="6" fillId="0" borderId="0" xfId="0" applyNumberFormat="1" applyFont="1"/>
    <xf numFmtId="0" fontId="8" fillId="5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20" fontId="5" fillId="0" borderId="0" xfId="0" applyNumberFormat="1" applyFont="1"/>
    <xf numFmtId="0" fontId="12" fillId="0" borderId="0" xfId="0" applyFont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22" fontId="4" fillId="0" borderId="0" xfId="0" applyNumberFormat="1" applyFont="1" applyAlignment="1" applyProtection="1">
      <alignment horizontal="center"/>
      <protection locked="0"/>
    </xf>
    <xf numFmtId="22" fontId="9" fillId="4" borderId="0" xfId="7" applyNumberFormat="1" applyFont="1" applyFill="1" applyAlignment="1" applyProtection="1">
      <alignment horizontal="center" vertical="center"/>
      <protection locked="0"/>
    </xf>
    <xf numFmtId="22" fontId="3" fillId="4" borderId="0" xfId="7" applyNumberFormat="1" applyFont="1" applyFill="1" applyAlignment="1" applyProtection="1">
      <alignment horizontal="center" vertical="center"/>
      <protection locked="0"/>
    </xf>
    <xf numFmtId="0" fontId="3" fillId="4" borderId="0" xfId="7" applyFont="1" applyFill="1" applyAlignment="1" applyProtection="1">
      <alignment horizontal="center" vertical="center"/>
      <protection locked="0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4" xr:uid="{00000000-0005-0000-0000-000004000000}"/>
    <cellStyle name="Normal 7" xfId="8" xr:uid="{00000000-0005-0000-0000-000005000000}"/>
    <cellStyle name="Normal_Hoja2" xfId="7" xr:uid="{00000000-0005-0000-0000-000006000000}"/>
    <cellStyle name="Porcentaje 2" xfId="5" xr:uid="{00000000-0005-0000-0000-000007000000}"/>
    <cellStyle name="Porcentual 2" xfId="6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corNixdorf\Respaldo\bancomer\Reporte%20de%20Colores\Reporte%20de%20Colores%20Nov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 DE COLORES"/>
      <sheetName val="VIPS"/>
      <sheetName val="DICIEMBRE"/>
      <sheetName val="DATOS DICIEMBRE"/>
      <sheetName val="Hoja5"/>
      <sheetName val="DATOS"/>
      <sheetName val="VENTANAS"/>
    </sheetNames>
    <sheetDataSet>
      <sheetData sheetId="0"/>
      <sheetData sheetId="1"/>
      <sheetData sheetId="2"/>
      <sheetData sheetId="3"/>
      <sheetData sheetId="4">
        <row r="1">
          <cell r="S1">
            <v>2</v>
          </cell>
        </row>
        <row r="4">
          <cell r="V4" t="str">
            <v>Etiquetas de fila</v>
          </cell>
          <cell r="W4" t="str">
            <v>0 - 5 HRS</v>
          </cell>
          <cell r="X4" t="str">
            <v>1 - 4 D</v>
          </cell>
          <cell r="Y4" t="str">
            <v>12 - 24 HRS</v>
          </cell>
          <cell r="Z4" t="str">
            <v>5 - 12 HRS</v>
          </cell>
          <cell r="AA4" t="str">
            <v>Total general</v>
          </cell>
        </row>
        <row r="5">
          <cell r="V5" t="str">
            <v>AGUASCALIENTES</v>
          </cell>
          <cell r="W5">
            <v>2</v>
          </cell>
          <cell r="X5">
            <v>1</v>
          </cell>
          <cell r="Y5">
            <v>0</v>
          </cell>
          <cell r="Z5">
            <v>2</v>
          </cell>
          <cell r="AA5">
            <v>5</v>
          </cell>
        </row>
        <row r="6">
          <cell r="V6" t="str">
            <v>BAJA CALIFORNIA NTE</v>
          </cell>
          <cell r="W6">
            <v>0</v>
          </cell>
          <cell r="X6">
            <v>1</v>
          </cell>
          <cell r="Y6">
            <v>0</v>
          </cell>
          <cell r="Z6">
            <v>2</v>
          </cell>
          <cell r="AA6">
            <v>3</v>
          </cell>
        </row>
        <row r="7">
          <cell r="V7" t="str">
            <v>CHIAPAS</v>
          </cell>
          <cell r="W7">
            <v>1</v>
          </cell>
          <cell r="X7">
            <v>1</v>
          </cell>
          <cell r="Y7">
            <v>0</v>
          </cell>
          <cell r="Z7">
            <v>0</v>
          </cell>
          <cell r="AA7">
            <v>2</v>
          </cell>
        </row>
        <row r="8">
          <cell r="V8" t="str">
            <v>CHIHUAHUA</v>
          </cell>
          <cell r="W8">
            <v>1</v>
          </cell>
          <cell r="X8">
            <v>0</v>
          </cell>
          <cell r="Y8">
            <v>2</v>
          </cell>
          <cell r="Z8">
            <v>0</v>
          </cell>
          <cell r="AA8">
            <v>3</v>
          </cell>
        </row>
        <row r="9">
          <cell r="V9" t="str">
            <v>COAHUILA</v>
          </cell>
          <cell r="W9">
            <v>1</v>
          </cell>
          <cell r="X9">
            <v>0</v>
          </cell>
          <cell r="Y9">
            <v>1</v>
          </cell>
          <cell r="Z9">
            <v>3</v>
          </cell>
          <cell r="AA9">
            <v>5</v>
          </cell>
        </row>
        <row r="10">
          <cell r="V10" t="str">
            <v>DISTRITO FEDERAL</v>
          </cell>
          <cell r="W10">
            <v>3</v>
          </cell>
          <cell r="X10">
            <v>0</v>
          </cell>
          <cell r="Y10">
            <v>1</v>
          </cell>
          <cell r="Z10">
            <v>4</v>
          </cell>
          <cell r="AA10">
            <v>8</v>
          </cell>
        </row>
        <row r="11">
          <cell r="V11" t="str">
            <v>ESTADO DE MEXICO</v>
          </cell>
          <cell r="W11">
            <v>5</v>
          </cell>
          <cell r="X11">
            <v>1</v>
          </cell>
          <cell r="Y11">
            <v>2</v>
          </cell>
          <cell r="Z11">
            <v>4</v>
          </cell>
          <cell r="AA11">
            <v>12</v>
          </cell>
        </row>
        <row r="12">
          <cell r="V12" t="str">
            <v>GUANAJUATO</v>
          </cell>
          <cell r="W12">
            <v>0</v>
          </cell>
          <cell r="X12">
            <v>0</v>
          </cell>
          <cell r="Y12">
            <v>1</v>
          </cell>
          <cell r="Z12">
            <v>2</v>
          </cell>
          <cell r="AA12">
            <v>3</v>
          </cell>
        </row>
        <row r="13">
          <cell r="V13" t="str">
            <v>GUERRERO</v>
          </cell>
          <cell r="W13">
            <v>0</v>
          </cell>
          <cell r="X13">
            <v>0</v>
          </cell>
          <cell r="Y13">
            <v>3</v>
          </cell>
          <cell r="Z13">
            <v>2</v>
          </cell>
          <cell r="AA13">
            <v>5</v>
          </cell>
        </row>
        <row r="14">
          <cell r="V14" t="str">
            <v>HIDALGO</v>
          </cell>
          <cell r="W14">
            <v>0</v>
          </cell>
          <cell r="X14">
            <v>1</v>
          </cell>
          <cell r="Y14">
            <v>0</v>
          </cell>
          <cell r="Z14">
            <v>0</v>
          </cell>
          <cell r="AA14">
            <v>1</v>
          </cell>
        </row>
        <row r="15">
          <cell r="V15" t="str">
            <v>JALISCO</v>
          </cell>
          <cell r="W15">
            <v>0</v>
          </cell>
          <cell r="X15">
            <v>1</v>
          </cell>
          <cell r="Y15">
            <v>2</v>
          </cell>
          <cell r="Z15">
            <v>1</v>
          </cell>
          <cell r="AA15">
            <v>4</v>
          </cell>
        </row>
        <row r="16">
          <cell r="V16" t="str">
            <v>MICHOACAN</v>
          </cell>
          <cell r="W16">
            <v>0</v>
          </cell>
          <cell r="X16">
            <v>1</v>
          </cell>
          <cell r="Y16">
            <v>0</v>
          </cell>
          <cell r="Z16">
            <v>1</v>
          </cell>
          <cell r="AA16">
            <v>2</v>
          </cell>
        </row>
        <row r="17">
          <cell r="V17" t="str">
            <v>NUEVO LEON</v>
          </cell>
          <cell r="W17">
            <v>1</v>
          </cell>
          <cell r="X17">
            <v>0</v>
          </cell>
          <cell r="Y17">
            <v>0</v>
          </cell>
          <cell r="Z17">
            <v>3</v>
          </cell>
          <cell r="AA17">
            <v>4</v>
          </cell>
        </row>
        <row r="18">
          <cell r="V18" t="str">
            <v>OAXACA</v>
          </cell>
          <cell r="W18">
            <v>2</v>
          </cell>
          <cell r="X18">
            <v>0</v>
          </cell>
          <cell r="Y18">
            <v>0</v>
          </cell>
          <cell r="Z18">
            <v>1</v>
          </cell>
          <cell r="AA18">
            <v>3</v>
          </cell>
        </row>
        <row r="19">
          <cell r="V19" t="str">
            <v>QUERETARO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2</v>
          </cell>
        </row>
        <row r="20">
          <cell r="V20" t="str">
            <v>SAN LUIS POTOSI</v>
          </cell>
          <cell r="W20">
            <v>0</v>
          </cell>
          <cell r="X20">
            <v>0</v>
          </cell>
          <cell r="Y20">
            <v>1</v>
          </cell>
          <cell r="Z20">
            <v>1</v>
          </cell>
          <cell r="AA20">
            <v>2</v>
          </cell>
        </row>
        <row r="21">
          <cell r="V21" t="str">
            <v>SINALOA</v>
          </cell>
          <cell r="W21">
            <v>3</v>
          </cell>
          <cell r="X21">
            <v>0</v>
          </cell>
          <cell r="Y21">
            <v>1</v>
          </cell>
          <cell r="Z21">
            <v>1</v>
          </cell>
          <cell r="AA21">
            <v>5</v>
          </cell>
        </row>
        <row r="22">
          <cell r="V22" t="str">
            <v>TABASCO</v>
          </cell>
          <cell r="W22">
            <v>1</v>
          </cell>
          <cell r="X22">
            <v>0</v>
          </cell>
          <cell r="Y22">
            <v>3</v>
          </cell>
          <cell r="Z22">
            <v>0</v>
          </cell>
          <cell r="AA22">
            <v>4</v>
          </cell>
        </row>
        <row r="23">
          <cell r="V23" t="str">
            <v>TAMAULIPAS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1</v>
          </cell>
        </row>
        <row r="24">
          <cell r="V24" t="str">
            <v>VERACRUZ</v>
          </cell>
          <cell r="W24">
            <v>0</v>
          </cell>
          <cell r="X24">
            <v>1</v>
          </cell>
          <cell r="Y24">
            <v>0</v>
          </cell>
          <cell r="Z24">
            <v>1</v>
          </cell>
          <cell r="AA24">
            <v>2</v>
          </cell>
        </row>
        <row r="25">
          <cell r="V25" t="str">
            <v>DURANGO</v>
          </cell>
          <cell r="W25">
            <v>0</v>
          </cell>
          <cell r="X25">
            <v>2</v>
          </cell>
          <cell r="Y25">
            <v>1</v>
          </cell>
          <cell r="Z25">
            <v>0</v>
          </cell>
          <cell r="AA25">
            <v>3</v>
          </cell>
        </row>
        <row r="26">
          <cell r="V26" t="str">
            <v>QUINTANA ROO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</row>
        <row r="27">
          <cell r="V27" t="str">
            <v>Total general</v>
          </cell>
          <cell r="W27">
            <v>22</v>
          </cell>
          <cell r="X27">
            <v>10</v>
          </cell>
          <cell r="Y27">
            <v>19</v>
          </cell>
          <cell r="Z27">
            <v>29</v>
          </cell>
          <cell r="AA27">
            <v>80</v>
          </cell>
        </row>
      </sheetData>
      <sheetData sheetId="5">
        <row r="2">
          <cell r="HN2">
            <v>41273</v>
          </cell>
        </row>
        <row r="3">
          <cell r="XFA3">
            <v>0</v>
          </cell>
          <cell r="XFB3">
            <v>1</v>
          </cell>
          <cell r="XFC3" t="str">
            <v>LUNES</v>
          </cell>
        </row>
        <row r="4">
          <cell r="XFA4">
            <v>0</v>
          </cell>
          <cell r="XFB4">
            <v>2</v>
          </cell>
          <cell r="XFC4" t="str">
            <v>MARTES</v>
          </cell>
        </row>
        <row r="5">
          <cell r="XFA5">
            <v>0</v>
          </cell>
          <cell r="XFB5">
            <v>3</v>
          </cell>
          <cell r="XFC5" t="str">
            <v>MIERCOLES</v>
          </cell>
        </row>
        <row r="6">
          <cell r="XFA6">
            <v>0</v>
          </cell>
          <cell r="XFB6">
            <v>4</v>
          </cell>
          <cell r="XFC6" t="str">
            <v>JUEVES</v>
          </cell>
        </row>
        <row r="7">
          <cell r="XFA7">
            <v>0</v>
          </cell>
          <cell r="XFB7">
            <v>5</v>
          </cell>
          <cell r="XFC7" t="str">
            <v>VIERNES</v>
          </cell>
        </row>
        <row r="8">
          <cell r="XFA8">
            <v>0</v>
          </cell>
          <cell r="XFB8">
            <v>6</v>
          </cell>
          <cell r="XFC8" t="str">
            <v>SABADO</v>
          </cell>
        </row>
        <row r="9">
          <cell r="XFA9">
            <v>0</v>
          </cell>
          <cell r="XFB9">
            <v>7</v>
          </cell>
          <cell r="XFC9" t="str">
            <v>DOMINGO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T6"/>
  <sheetViews>
    <sheetView tabSelected="1" zoomScale="80" zoomScaleNormal="80" workbookViewId="0">
      <pane ySplit="3" topLeftCell="A4" activePane="bottomLeft" state="frozen"/>
      <selection pane="bottomLeft" activeCell="A4" sqref="A4"/>
    </sheetView>
  </sheetViews>
  <sheetFormatPr defaultColWidth="11.453125" defaultRowHeight="14" x14ac:dyDescent="0.3"/>
  <cols>
    <col min="1" max="4" width="19.54296875" style="21" customWidth="1"/>
    <col min="5" max="6" width="19.54296875" style="22" customWidth="1"/>
    <col min="7" max="7" width="17.1796875" style="6" customWidth="1"/>
    <col min="8" max="8" width="22" style="6" customWidth="1"/>
    <col min="9" max="9" width="12.54296875" style="6" customWidth="1"/>
    <col min="10" max="10" width="8.54296875" style="6" customWidth="1"/>
    <col min="11" max="11" width="9.81640625" style="6" customWidth="1"/>
    <col min="12" max="46" width="4.1796875" style="20" hidden="1" customWidth="1"/>
    <col min="47" max="49" width="11.453125" style="6"/>
    <col min="50" max="50" width="15.81640625" style="6" bestFit="1" customWidth="1"/>
    <col min="51" max="16384" width="11.453125" style="6"/>
  </cols>
  <sheetData>
    <row r="1" spans="1:46" x14ac:dyDescent="0.3">
      <c r="L1" s="18">
        <f t="shared" ref="L1:AR1" si="0">M1-1</f>
        <v>45946</v>
      </c>
      <c r="M1" s="18">
        <f t="shared" si="0"/>
        <v>45947</v>
      </c>
      <c r="N1" s="18">
        <f t="shared" si="0"/>
        <v>45948</v>
      </c>
      <c r="O1" s="18">
        <f t="shared" si="0"/>
        <v>45949</v>
      </c>
      <c r="P1" s="18">
        <f t="shared" si="0"/>
        <v>45950</v>
      </c>
      <c r="Q1" s="18">
        <f t="shared" si="0"/>
        <v>45951</v>
      </c>
      <c r="R1" s="18">
        <f t="shared" si="0"/>
        <v>45952</v>
      </c>
      <c r="S1" s="18">
        <f t="shared" si="0"/>
        <v>45953</v>
      </c>
      <c r="T1" s="18">
        <f t="shared" si="0"/>
        <v>45954</v>
      </c>
      <c r="U1" s="18">
        <f t="shared" si="0"/>
        <v>45955</v>
      </c>
      <c r="V1" s="18">
        <f t="shared" si="0"/>
        <v>45956</v>
      </c>
      <c r="W1" s="18">
        <f t="shared" si="0"/>
        <v>45957</v>
      </c>
      <c r="X1" s="18">
        <f t="shared" si="0"/>
        <v>45958</v>
      </c>
      <c r="Y1" s="18">
        <f t="shared" si="0"/>
        <v>45959</v>
      </c>
      <c r="Z1" s="18">
        <f t="shared" si="0"/>
        <v>45960</v>
      </c>
      <c r="AA1" s="18">
        <f t="shared" si="0"/>
        <v>45961</v>
      </c>
      <c r="AB1" s="18">
        <f t="shared" si="0"/>
        <v>45962</v>
      </c>
      <c r="AC1" s="18">
        <f t="shared" si="0"/>
        <v>45963</v>
      </c>
      <c r="AD1" s="18">
        <f t="shared" si="0"/>
        <v>45964</v>
      </c>
      <c r="AE1" s="18">
        <f t="shared" si="0"/>
        <v>45965</v>
      </c>
      <c r="AF1" s="18">
        <f t="shared" si="0"/>
        <v>45966</v>
      </c>
      <c r="AG1" s="18">
        <f t="shared" si="0"/>
        <v>45967</v>
      </c>
      <c r="AH1" s="18">
        <f t="shared" si="0"/>
        <v>45968</v>
      </c>
      <c r="AI1" s="18">
        <f t="shared" si="0"/>
        <v>45969</v>
      </c>
      <c r="AJ1" s="18">
        <f t="shared" si="0"/>
        <v>45970</v>
      </c>
      <c r="AK1" s="18">
        <f t="shared" si="0"/>
        <v>45971</v>
      </c>
      <c r="AL1" s="18">
        <f t="shared" si="0"/>
        <v>45972</v>
      </c>
      <c r="AM1" s="18">
        <f t="shared" si="0"/>
        <v>45973</v>
      </c>
      <c r="AN1" s="18">
        <f t="shared" si="0"/>
        <v>45974</v>
      </c>
      <c r="AO1" s="18">
        <f t="shared" si="0"/>
        <v>45975</v>
      </c>
      <c r="AP1" s="18">
        <f t="shared" si="0"/>
        <v>45976</v>
      </c>
      <c r="AQ1" s="18">
        <f t="shared" si="0"/>
        <v>45977</v>
      </c>
      <c r="AR1" s="18">
        <f t="shared" si="0"/>
        <v>45978</v>
      </c>
      <c r="AS1" s="18">
        <f>AT1-1</f>
        <v>45979</v>
      </c>
      <c r="AT1" s="18">
        <f>I2</f>
        <v>45980</v>
      </c>
    </row>
    <row r="2" spans="1:46" ht="28" x14ac:dyDescent="0.3">
      <c r="A2" s="23" t="s">
        <v>40</v>
      </c>
      <c r="B2" s="24"/>
      <c r="C2" s="24"/>
      <c r="D2" s="24"/>
      <c r="E2" s="24"/>
      <c r="F2" s="24"/>
      <c r="G2" s="9" t="s">
        <v>50</v>
      </c>
      <c r="I2" s="10">
        <f>DATE(YEAR(MAX(F:F)),MONTH(MAX(F:F)),DAY(MAX(F:F)))</f>
        <v>45980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3">
      <c r="A3" s="25" t="s">
        <v>3</v>
      </c>
      <c r="B3" s="24" t="s">
        <v>4</v>
      </c>
      <c r="C3" s="24" t="s">
        <v>78</v>
      </c>
      <c r="D3" s="24" t="s">
        <v>41</v>
      </c>
      <c r="E3" s="24" t="s">
        <v>68</v>
      </c>
      <c r="F3" s="24" t="s">
        <v>6</v>
      </c>
      <c r="G3" s="1" t="s">
        <v>5</v>
      </c>
      <c r="H3" s="1" t="s">
        <v>7</v>
      </c>
      <c r="I3" s="12" t="s">
        <v>1</v>
      </c>
      <c r="J3" s="12" t="s">
        <v>2</v>
      </c>
      <c r="K3" s="12" t="s">
        <v>0</v>
      </c>
      <c r="L3" s="19" t="s">
        <v>8</v>
      </c>
      <c r="M3" s="19" t="s">
        <v>9</v>
      </c>
      <c r="N3" s="19" t="s">
        <v>10</v>
      </c>
      <c r="O3" s="19" t="s">
        <v>11</v>
      </c>
      <c r="P3" s="19" t="s">
        <v>12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V3" s="19" t="s">
        <v>18</v>
      </c>
      <c r="W3" s="19" t="s">
        <v>19</v>
      </c>
      <c r="X3" s="19" t="s">
        <v>20</v>
      </c>
      <c r="Y3" s="19" t="s">
        <v>21</v>
      </c>
      <c r="Z3" s="19" t="s">
        <v>22</v>
      </c>
      <c r="AA3" s="19" t="s">
        <v>23</v>
      </c>
      <c r="AB3" s="19" t="s">
        <v>24</v>
      </c>
      <c r="AC3" s="19" t="s">
        <v>25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31</v>
      </c>
      <c r="AJ3" s="19" t="s">
        <v>32</v>
      </c>
      <c r="AK3" s="19" t="s">
        <v>33</v>
      </c>
      <c r="AL3" s="19" t="s">
        <v>34</v>
      </c>
      <c r="AM3" s="19" t="s">
        <v>35</v>
      </c>
      <c r="AN3" s="19" t="s">
        <v>36</v>
      </c>
      <c r="AO3" s="19" t="s">
        <v>37</v>
      </c>
      <c r="AP3" s="19" t="s">
        <v>63</v>
      </c>
      <c r="AQ3" s="19" t="s">
        <v>64</v>
      </c>
      <c r="AR3" s="19" t="s">
        <v>65</v>
      </c>
      <c r="AS3" s="19" t="s">
        <v>66</v>
      </c>
      <c r="AT3" s="19" t="s">
        <v>67</v>
      </c>
    </row>
    <row r="4" spans="1:46" s="7" customFormat="1" x14ac:dyDescent="0.3">
      <c r="A4" s="21" t="s">
        <v>69</v>
      </c>
      <c r="B4" s="21">
        <v>1</v>
      </c>
      <c r="C4" s="21" t="str">
        <f>VLOOKUP(A4,IBase!A:R,18,0)</f>
        <v>L-V(9-17)</v>
      </c>
      <c r="D4" s="21" t="s">
        <v>72</v>
      </c>
      <c r="E4" s="22">
        <v>45971.686736111114</v>
      </c>
      <c r="F4" s="22">
        <v>45980.853407407405</v>
      </c>
      <c r="G4" s="14" t="str">
        <f>IFERROR(VLOOKUP(A4,IBase!A:A,1,0),D4)</f>
        <v>V00124</v>
      </c>
      <c r="H4" s="13">
        <f>IFERROR(SUM(L4:AT4),0)</f>
        <v>3391.1000000021891</v>
      </c>
      <c r="I4" s="13">
        <f>IF(ISERROR(MAX(0,IF(F4&gt;(DATE(YEAR(E4),MONTH(E4),DAY(E4))+VLOOKUP(G4,IBase!A:AJ,(29+WEEKDAY(E4,2)),0)*1),(DATE(YEAR(E4),MONTH(E4),DAY(E4))+VLOOKUP(G4,IBase!A:AJ,(29+WEEKDAY(E4,2)),0)*1),F4)-IF(E4&gt;(DATE(YEAR(E4),MONTH(E4),DAY(E4))+VLOOKUP(G4,IBase!A:AC,(22+WEEKDAY(E4,2)),0)*1),E4,(DATE(YEAR(E4),MONTH(E4),DAY(E4))+VLOOKUP(G4,IBase!A:AC,(22+WEEKDAY(E4,2)),0)*1)))),0,MAX(0,IF(F4&gt;(DATE(YEAR(E4),MONTH(E4),DAY(E4))+VLOOKUP(G4,IBase!A:AJ,(29+WEEKDAY(E4,2)),0)*1),(DATE(YEAR(E4),MONTH(E4),DAY(E4))+VLOOKUP(G4,IBase!A:AJ,(29+WEEKDAY(E4,2)),0)*1),F4)-IF(E4&gt;(DATE(YEAR(E4),MONTH(E4),DAY(E4))+VLOOKUP(G4,IBase!A:AC,(22+WEEKDAY(E4,2)),0)*1),E4,(DATE(YEAR(E4),MONTH(E4),DAY(E4))+VLOOKUP(G4,IBase!A:AC,(22+WEEKDAY(E4,2)),0)*1))))</f>
        <v>2.159722222131677E-2</v>
      </c>
      <c r="J4" s="13">
        <f>IF(ISERROR(MAX(0,DATE(YEAR(E4),MONTH(E4),DAY(E4))+VLOOKUP(G4,IBase!A:AJ,(29+WEEKDAY(E4,2)),0)-(IF(E4&gt;DATE(YEAR(E4),MONTH(E4),DAY(E4))+VLOOKUP(G4,IBase!A:AC,(22+WEEKDAY(E4,2)),0),E4,DATE(YEAR(E4),MONTH(E4),DAY(E4))+VLOOKUP(G4,IBase!A:AC,(22+WEEKDAY(E4,2)),0))))),0,MAX(0,DATE(YEAR(E4),MONTH(E4),DAY(E4))+VLOOKUP(G4,IBase!A:AJ,(29+WEEKDAY(E4,2)),0)-(IF(E4&gt;DATE(YEAR(E4),MONTH(E4),DAY(E4))+VLOOKUP(G4,IBase!A:AC,(22+WEEKDAY(E4,2)),0),E4,DATE(YEAR(E4),MONTH(E4),DAY(E4))+VLOOKUP(G4,IBase!A:AC,(22+WEEKDAY(E4,2)),0)))))</f>
        <v>2.159722222131677E-2</v>
      </c>
      <c r="K4" s="13">
        <f>IF(ISERROR(MAX(0,(IF(F4&lt;DATE(YEAR(F4),MONTH(F4),DAY(F4))+VLOOKUP(G4,IBase!A:AJ,(29+WEEKDAY(F4,2)),0),F4,DATE(YEAR(F4),MONTH(F4),DAY(F4))+VLOOKUP(G4,IBase!A:AJ,(29+WEEKDAY(F4,2)),0)))-(DATE(YEAR(F4),MONTH(F4),DAY(F4))+VLOOKUP(G4,IBase!A:AC,(22+WEEKDAY(F4,2)),0)))),0,MAX(0,(IF(F4&lt;DATE(YEAR(F4),MONTH(F4),DAY(F4))+VLOOKUP(G4,IBase!A:AJ,(29+WEEKDAY(F4,2)),0),F4,DATE(YEAR(F4),MONTH(F4),DAY(F4))+VLOOKUP(G4,IBase!A:AJ,(29+WEEKDAY(F4,2)),0)))-(DATE(YEAR(F4),MONTH(F4),DAY(F4))+VLOOKUP(G4,IBase!A:AC,(22+WEEKDAY(F4,2)),0))))</f>
        <v>0.33333333333575865</v>
      </c>
      <c r="L4" s="17" t="str">
        <f>IF(AND(INT($E4)&lt;=L$1,INT($F4)&gt;=L$1),IF(L$2="X",0,IF(INT($E4)=INT($F4),$I4*1440,IF((INT($F4)-INT($E4))&gt;=2,IF(INT($E4)=INT(L$1),$J4*1440,IF(INT($F4)=INT(L$1),$K4*1440,IF(ISERROR(VLOOKUP($G4,IBase!$A:$AQ,36+WEEKDAY(DATE(YEAR(L$1),MONTH(L$1),DAY(L$1)),2),0)),0,VLOOKUP($G4,IBase!$A:$AQ,36+WEEKDAY(DATE(YEAR(L$1),MONTH(L$1),DAY(L$1)),2),0)))),IF(INT($E4)=INT(L$1),$J4*1440,$K4*1440)))),"")</f>
        <v/>
      </c>
      <c r="M4" s="17" t="str">
        <f>IF(AND(INT($E4)&lt;=M$1,INT($F4)&gt;=M$1),IF(M$2="X",0,IF(INT($E4)=INT($F4),$I4*1440,IF((INT($F4)-INT($E4))&gt;=2,IF(INT($E4)=INT(M$1),$J4*1440,IF(INT($F4)=INT(M$1),$K4*1440,IF(ISERROR(VLOOKUP($G4,IBase!$A:$AQ,36+WEEKDAY(DATE(YEAR(M$1),MONTH(M$1),DAY(M$1)),2),0)),0,VLOOKUP($G4,IBase!$A:$AQ,36+WEEKDAY(DATE(YEAR(M$1),MONTH(M$1),DAY(M$1)),2),0)))),IF(INT($E4)=INT(M$1),$J4*1440,$K4*1440)))),"")</f>
        <v/>
      </c>
      <c r="N4" s="17" t="str">
        <f>IF(AND(INT($E4)&lt;=N$1,INT($F4)&gt;=N$1),IF(N$2="X",0,IF(INT($E4)=INT($F4),$I4*1440,IF((INT($F4)-INT($E4))&gt;=2,IF(INT($E4)=INT(N$1),$J4*1440,IF(INT($F4)=INT(N$1),$K4*1440,IF(ISERROR(VLOOKUP($G4,IBase!$A:$AQ,36+WEEKDAY(DATE(YEAR(N$1),MONTH(N$1),DAY(N$1)),2),0)),0,VLOOKUP($G4,IBase!$A:$AQ,36+WEEKDAY(DATE(YEAR(N$1),MONTH(N$1),DAY(N$1)),2),0)))),IF(INT($E4)=INT(N$1),$J4*1440,$K4*1440)))),"")</f>
        <v/>
      </c>
      <c r="O4" s="17" t="str">
        <f>IF(AND(INT($E4)&lt;=O$1,INT($F4)&gt;=O$1),IF(O$2="X",0,IF(INT($E4)=INT($F4),$I4*1440,IF((INT($F4)-INT($E4))&gt;=2,IF(INT($E4)=INT(O$1),$J4*1440,IF(INT($F4)=INT(O$1),$K4*1440,IF(ISERROR(VLOOKUP($G4,IBase!$A:$AQ,36+WEEKDAY(DATE(YEAR(O$1),MONTH(O$1),DAY(O$1)),2),0)),0,VLOOKUP($G4,IBase!$A:$AQ,36+WEEKDAY(DATE(YEAR(O$1),MONTH(O$1),DAY(O$1)),2),0)))),IF(INT($E4)=INT(O$1),$J4*1440,$K4*1440)))),"")</f>
        <v/>
      </c>
      <c r="P4" s="17" t="str">
        <f>IF(AND(INT($E4)&lt;=P$1,INT($F4)&gt;=P$1),IF(P$2="X",0,IF(INT($E4)=INT($F4),$I4*1440,IF((INT($F4)-INT($E4))&gt;=2,IF(INT($E4)=INT(P$1),$J4*1440,IF(INT($F4)=INT(P$1),$K4*1440,IF(ISERROR(VLOOKUP($G4,IBase!$A:$AQ,36+WEEKDAY(DATE(YEAR(P$1),MONTH(P$1),DAY(P$1)),2),0)),0,VLOOKUP($G4,IBase!$A:$AQ,36+WEEKDAY(DATE(YEAR(P$1),MONTH(P$1),DAY(P$1)),2),0)))),IF(INT($E4)=INT(P$1),$J4*1440,$K4*1440)))),"")</f>
        <v/>
      </c>
      <c r="Q4" s="17" t="str">
        <f>IF(AND(INT($E4)&lt;=Q$1,INT($F4)&gt;=Q$1),IF(Q$2="X",0,IF(INT($E4)=INT($F4),$I4*1440,IF((INT($F4)-INT($E4))&gt;=2,IF(INT($E4)=INT(Q$1),$J4*1440,IF(INT($F4)=INT(Q$1),$K4*1440,IF(ISERROR(VLOOKUP($G4,IBase!$A:$AQ,36+WEEKDAY(DATE(YEAR(Q$1),MONTH(Q$1),DAY(Q$1)),2),0)),0,VLOOKUP($G4,IBase!$A:$AQ,36+WEEKDAY(DATE(YEAR(Q$1),MONTH(Q$1),DAY(Q$1)),2),0)))),IF(INT($E4)=INT(Q$1),$J4*1440,$K4*1440)))),"")</f>
        <v/>
      </c>
      <c r="R4" s="17" t="str">
        <f>IF(AND(INT($E4)&lt;=R$1,INT($F4)&gt;=R$1),IF(R$2="X",0,IF(INT($E4)=INT($F4),$I4*1440,IF((INT($F4)-INT($E4))&gt;=2,IF(INT($E4)=INT(R$1),$J4*1440,IF(INT($F4)=INT(R$1),$K4*1440,IF(ISERROR(VLOOKUP($G4,IBase!$A:$AQ,36+WEEKDAY(DATE(YEAR(R$1),MONTH(R$1),DAY(R$1)),2),0)),0,VLOOKUP($G4,IBase!$A:$AQ,36+WEEKDAY(DATE(YEAR(R$1),MONTH(R$1),DAY(R$1)),2),0)))),IF(INT($E4)=INT(R$1),$J4*1440,$K4*1440)))),"")</f>
        <v/>
      </c>
      <c r="S4" s="17" t="str">
        <f>IF(AND(INT($E4)&lt;=S$1,INT($F4)&gt;=S$1),IF(S$2="X",0,IF(INT($E4)=INT($F4),$I4*1440,IF((INT($F4)-INT($E4))&gt;=2,IF(INT($E4)=INT(S$1),$J4*1440,IF(INT($F4)=INT(S$1),$K4*1440,IF(ISERROR(VLOOKUP($G4,IBase!$A:$AQ,36+WEEKDAY(DATE(YEAR(S$1),MONTH(S$1),DAY(S$1)),2),0)),0,VLOOKUP($G4,IBase!$A:$AQ,36+WEEKDAY(DATE(YEAR(S$1),MONTH(S$1),DAY(S$1)),2),0)))),IF(INT($E4)=INT(S$1),$J4*1440,$K4*1440)))),"")</f>
        <v/>
      </c>
      <c r="T4" s="17" t="str">
        <f>IF(AND(INT($E4)&lt;=T$1,INT($F4)&gt;=T$1),IF(T$2="X",0,IF(INT($E4)=INT($F4),$I4*1440,IF((INT($F4)-INT($E4))&gt;=2,IF(INT($E4)=INT(T$1),$J4*1440,IF(INT($F4)=INT(T$1),$K4*1440,IF(ISERROR(VLOOKUP($G4,IBase!$A:$AQ,36+WEEKDAY(DATE(YEAR(T$1),MONTH(T$1),DAY(T$1)),2),0)),0,VLOOKUP($G4,IBase!$A:$AQ,36+WEEKDAY(DATE(YEAR(T$1),MONTH(T$1),DAY(T$1)),2),0)))),IF(INT($E4)=INT(T$1),$J4*1440,$K4*1440)))),"")</f>
        <v/>
      </c>
      <c r="U4" s="17" t="str">
        <f>IF(AND(INT($E4)&lt;=U$1,INT($F4)&gt;=U$1),IF(U$2="X",0,IF(INT($E4)=INT($F4),$I4*1440,IF((INT($F4)-INT($E4))&gt;=2,IF(INT($E4)=INT(U$1),$J4*1440,IF(INT($F4)=INT(U$1),$K4*1440,IF(ISERROR(VLOOKUP($G4,IBase!$A:$AQ,36+WEEKDAY(DATE(YEAR(U$1),MONTH(U$1),DAY(U$1)),2),0)),0,VLOOKUP($G4,IBase!$A:$AQ,36+WEEKDAY(DATE(YEAR(U$1),MONTH(U$1),DAY(U$1)),2),0)))),IF(INT($E4)=INT(U$1),$J4*1440,$K4*1440)))),"")</f>
        <v/>
      </c>
      <c r="V4" s="17" t="str">
        <f>IF(AND(INT($E4)&lt;=V$1,INT($F4)&gt;=V$1),IF(V$2="X",0,IF(INT($E4)=INT($F4),$I4*1440,IF((INT($F4)-INT($E4))&gt;=2,IF(INT($E4)=INT(V$1),$J4*1440,IF(INT($F4)=INT(V$1),$K4*1440,IF(ISERROR(VLOOKUP($G4,IBase!$A:$AQ,36+WEEKDAY(DATE(YEAR(V$1),MONTH(V$1),DAY(V$1)),2),0)),0,VLOOKUP($G4,IBase!$A:$AQ,36+WEEKDAY(DATE(YEAR(V$1),MONTH(V$1),DAY(V$1)),2),0)))),IF(INT($E4)=INT(V$1),$J4*1440,$K4*1440)))),"")</f>
        <v/>
      </c>
      <c r="W4" s="17" t="str">
        <f>IF(AND(INT($E4)&lt;=W$1,INT($F4)&gt;=W$1),IF(W$2="X",0,IF(INT($E4)=INT($F4),$I4*1440,IF((INT($F4)-INT($E4))&gt;=2,IF(INT($E4)=INT(W$1),$J4*1440,IF(INT($F4)=INT(W$1),$K4*1440,IF(ISERROR(VLOOKUP($G4,IBase!$A:$AQ,36+WEEKDAY(DATE(YEAR(W$1),MONTH(W$1),DAY(W$1)),2),0)),0,VLOOKUP($G4,IBase!$A:$AQ,36+WEEKDAY(DATE(YEAR(W$1),MONTH(W$1),DAY(W$1)),2),0)))),IF(INT($E4)=INT(W$1),$J4*1440,$K4*1440)))),"")</f>
        <v/>
      </c>
      <c r="X4" s="17" t="str">
        <f>IF(AND(INT($E4)&lt;=X$1,INT($F4)&gt;=X$1),IF(X$2="X",0,IF(INT($E4)=INT($F4),$I4*1440,IF((INT($F4)-INT($E4))&gt;=2,IF(INT($E4)=INT(X$1),$J4*1440,IF(INT($F4)=INT(X$1),$K4*1440,IF(ISERROR(VLOOKUP($G4,IBase!$A:$AQ,36+WEEKDAY(DATE(YEAR(X$1),MONTH(X$1),DAY(X$1)),2),0)),0,VLOOKUP($G4,IBase!$A:$AQ,36+WEEKDAY(DATE(YEAR(X$1),MONTH(X$1),DAY(X$1)),2),0)))),IF(INT($E4)=INT(X$1),$J4*1440,$K4*1440)))),"")</f>
        <v/>
      </c>
      <c r="Y4" s="17" t="str">
        <f>IF(AND(INT($E4)&lt;=Y$1,INT($F4)&gt;=Y$1),IF(Y$2="X",0,IF(INT($E4)=INT($F4),$I4*1440,IF((INT($F4)-INT($E4))&gt;=2,IF(INT($E4)=INT(Y$1),$J4*1440,IF(INT($F4)=INT(Y$1),$K4*1440,IF(ISERROR(VLOOKUP($G4,IBase!$A:$AQ,36+WEEKDAY(DATE(YEAR(Y$1),MONTH(Y$1),DAY(Y$1)),2),0)),0,VLOOKUP($G4,IBase!$A:$AQ,36+WEEKDAY(DATE(YEAR(Y$1),MONTH(Y$1),DAY(Y$1)),2),0)))),IF(INT($E4)=INT(Y$1),$J4*1440,$K4*1440)))),"")</f>
        <v/>
      </c>
      <c r="Z4" s="17" t="str">
        <f>IF(AND(INT($E4)&lt;=Z$1,INT($F4)&gt;=Z$1),IF(Z$2="X",0,IF(INT($E4)=INT($F4),$I4*1440,IF((INT($F4)-INT($E4))&gt;=2,IF(INT($E4)=INT(Z$1),$J4*1440,IF(INT($F4)=INT(Z$1),$K4*1440,IF(ISERROR(VLOOKUP($G4,IBase!$A:$AQ,36+WEEKDAY(DATE(YEAR(Z$1),MONTH(Z$1),DAY(Z$1)),2),0)),0,VLOOKUP($G4,IBase!$A:$AQ,36+WEEKDAY(DATE(YEAR(Z$1),MONTH(Z$1),DAY(Z$1)),2),0)))),IF(INT($E4)=INT(Z$1),$J4*1440,$K4*1440)))),"")</f>
        <v/>
      </c>
      <c r="AA4" s="17" t="str">
        <f>IF(AND(INT($E4)&lt;=AA$1,INT($F4)&gt;=AA$1),IF(AA$2="X",0,IF(INT($E4)=INT($F4),$I4*1440,IF((INT($F4)-INT($E4))&gt;=2,IF(INT($E4)=INT(AA$1),$J4*1440,IF(INT($F4)=INT(AA$1),$K4*1440,IF(ISERROR(VLOOKUP($G4,IBase!$A:$AQ,36+WEEKDAY(DATE(YEAR(AA$1),MONTH(AA$1),DAY(AA$1)),2),0)),0,VLOOKUP($G4,IBase!$A:$AQ,36+WEEKDAY(DATE(YEAR(AA$1),MONTH(AA$1),DAY(AA$1)),2),0)))),IF(INT($E4)=INT(AA$1),$J4*1440,$K4*1440)))),"")</f>
        <v/>
      </c>
      <c r="AB4" s="17" t="str">
        <f>IF(AND(INT($E4)&lt;=AB$1,INT($F4)&gt;=AB$1),IF(AB$2="X",0,IF(INT($E4)=INT($F4),$I4*1440,IF((INT($F4)-INT($E4))&gt;=2,IF(INT($E4)=INT(AB$1),$J4*1440,IF(INT($F4)=INT(AB$1),$K4*1440,IF(ISERROR(VLOOKUP($G4,IBase!$A:$AQ,36+WEEKDAY(DATE(YEAR(AB$1),MONTH(AB$1),DAY(AB$1)),2),0)),0,VLOOKUP($G4,IBase!$A:$AQ,36+WEEKDAY(DATE(YEAR(AB$1),MONTH(AB$1),DAY(AB$1)),2),0)))),IF(INT($E4)=INT(AB$1),$J4*1440,$K4*1440)))),"")</f>
        <v/>
      </c>
      <c r="AC4" s="17" t="str">
        <f>IF(AND(INT($E4)&lt;=AC$1,INT($F4)&gt;=AC$1),IF(AC$2="X",0,IF(INT($E4)=INT($F4),$I4*1440,IF((INT($F4)-INT($E4))&gt;=2,IF(INT($E4)=INT(AC$1),$J4*1440,IF(INT($F4)=INT(AC$1),$K4*1440,IF(ISERROR(VLOOKUP($G4,IBase!$A:$AQ,36+WEEKDAY(DATE(YEAR(AC$1),MONTH(AC$1),DAY(AC$1)),2),0)),0,VLOOKUP($G4,IBase!$A:$AQ,36+WEEKDAY(DATE(YEAR(AC$1),MONTH(AC$1),DAY(AC$1)),2),0)))),IF(INT($E4)=INT(AC$1),$J4*1440,$K4*1440)))),"")</f>
        <v/>
      </c>
      <c r="AD4" s="17" t="str">
        <f>IF(AND(INT($E4)&lt;=AD$1,INT($F4)&gt;=AD$1),IF(AD$2="X",0,IF(INT($E4)=INT($F4),$I4*1440,IF((INT($F4)-INT($E4))&gt;=2,IF(INT($E4)=INT(AD$1),$J4*1440,IF(INT($F4)=INT(AD$1),$K4*1440,IF(ISERROR(VLOOKUP($G4,IBase!$A:$AQ,36+WEEKDAY(DATE(YEAR(AD$1),MONTH(AD$1),DAY(AD$1)),2),0)),0,VLOOKUP($G4,IBase!$A:$AQ,36+WEEKDAY(DATE(YEAR(AD$1),MONTH(AD$1),DAY(AD$1)),2),0)))),IF(INT($E4)=INT(AD$1),$J4*1440,$K4*1440)))),"")</f>
        <v/>
      </c>
      <c r="AE4" s="17" t="str">
        <f>IF(AND(INT($E4)&lt;=AE$1,INT($F4)&gt;=AE$1),IF(AE$2="X",0,IF(INT($E4)=INT($F4),$I4*1440,IF((INT($F4)-INT($E4))&gt;=2,IF(INT($E4)=INT(AE$1),$J4*1440,IF(INT($F4)=INT(AE$1),$K4*1440,IF(ISERROR(VLOOKUP($G4,IBase!$A:$AQ,36+WEEKDAY(DATE(YEAR(AE$1),MONTH(AE$1),DAY(AE$1)),2),0)),0,VLOOKUP($G4,IBase!$A:$AQ,36+WEEKDAY(DATE(YEAR(AE$1),MONTH(AE$1),DAY(AE$1)),2),0)))),IF(INT($E4)=INT(AE$1),$J4*1440,$K4*1440)))),"")</f>
        <v/>
      </c>
      <c r="AF4" s="17" t="str">
        <f>IF(AND(INT($E4)&lt;=AF$1,INT($F4)&gt;=AF$1),IF(AF$2="X",0,IF(INT($E4)=INT($F4),$I4*1440,IF((INT($F4)-INT($E4))&gt;=2,IF(INT($E4)=INT(AF$1),$J4*1440,IF(INT($F4)=INT(AF$1),$K4*1440,IF(ISERROR(VLOOKUP($G4,IBase!$A:$AQ,36+WEEKDAY(DATE(YEAR(AF$1),MONTH(AF$1),DAY(AF$1)),2),0)),0,VLOOKUP($G4,IBase!$A:$AQ,36+WEEKDAY(DATE(YEAR(AF$1),MONTH(AF$1),DAY(AF$1)),2),0)))),IF(INT($E4)=INT(AF$1),$J4*1440,$K4*1440)))),"")</f>
        <v/>
      </c>
      <c r="AG4" s="17" t="str">
        <f>IF(AND(INT($E4)&lt;=AG$1,INT($F4)&gt;=AG$1),IF(AG$2="X",0,IF(INT($E4)=INT($F4),$I4*1440,IF((INT($F4)-INT($E4))&gt;=2,IF(INT($E4)=INT(AG$1),$J4*1440,IF(INT($F4)=INT(AG$1),$K4*1440,IF(ISERROR(VLOOKUP($G4,IBase!$A:$AQ,36+WEEKDAY(DATE(YEAR(AG$1),MONTH(AG$1),DAY(AG$1)),2),0)),0,VLOOKUP($G4,IBase!$A:$AQ,36+WEEKDAY(DATE(YEAR(AG$1),MONTH(AG$1),DAY(AG$1)),2),0)))),IF(INT($E4)=INT(AG$1),$J4*1440,$K4*1440)))),"")</f>
        <v/>
      </c>
      <c r="AH4" s="17" t="str">
        <f>IF(AND(INT($E4)&lt;=AH$1,INT($F4)&gt;=AH$1),IF(AH$2="X",0,IF(INT($E4)=INT($F4),$I4*1440,IF((INT($F4)-INT($E4))&gt;=2,IF(INT($E4)=INT(AH$1),$J4*1440,IF(INT($F4)=INT(AH$1),$K4*1440,IF(ISERROR(VLOOKUP($G4,IBase!$A:$AQ,36+WEEKDAY(DATE(YEAR(AH$1),MONTH(AH$1),DAY(AH$1)),2),0)),0,VLOOKUP($G4,IBase!$A:$AQ,36+WEEKDAY(DATE(YEAR(AH$1),MONTH(AH$1),DAY(AH$1)),2),0)))),IF(INT($E4)=INT(AH$1),$J4*1440,$K4*1440)))),"")</f>
        <v/>
      </c>
      <c r="AI4" s="17" t="str">
        <f>IF(AND(INT($E4)&lt;=AI$1,INT($F4)&gt;=AI$1),IF(AI$2="X",0,IF(INT($E4)=INT($F4),$I4*1440,IF((INT($F4)-INT($E4))&gt;=2,IF(INT($E4)=INT(AI$1),$J4*1440,IF(INT($F4)=INT(AI$1),$K4*1440,IF(ISERROR(VLOOKUP($G4,IBase!$A:$AQ,36+WEEKDAY(DATE(YEAR(AI$1),MONTH(AI$1),DAY(AI$1)),2),0)),0,VLOOKUP($G4,IBase!$A:$AQ,36+WEEKDAY(DATE(YEAR(AI$1),MONTH(AI$1),DAY(AI$1)),2),0)))),IF(INT($E4)=INT(AI$1),$J4*1440,$K4*1440)))),"")</f>
        <v/>
      </c>
      <c r="AJ4" s="17" t="str">
        <f>IF(AND(INT($E4)&lt;=AJ$1,INT($F4)&gt;=AJ$1),IF(AJ$2="X",0,IF(INT($E4)=INT($F4),$I4*1440,IF((INT($F4)-INT($E4))&gt;=2,IF(INT($E4)=INT(AJ$1),$J4*1440,IF(INT($F4)=INT(AJ$1),$K4*1440,IF(ISERROR(VLOOKUP($G4,IBase!$A:$AQ,36+WEEKDAY(DATE(YEAR(AJ$1),MONTH(AJ$1),DAY(AJ$1)),2),0)),0,VLOOKUP($G4,IBase!$A:$AQ,36+WEEKDAY(DATE(YEAR(AJ$1),MONTH(AJ$1),DAY(AJ$1)),2),0)))),IF(INT($E4)=INT(AJ$1),$J4*1440,$K4*1440)))),"")</f>
        <v/>
      </c>
      <c r="AK4" s="17">
        <f>IF(AND(INT($E4)&lt;=AK$1,INT($F4)&gt;=AK$1),IF(AK$2="X",0,IF(INT($E4)=INT($F4),$I4*1440,IF((INT($F4)-INT($E4))&gt;=2,IF(INT($E4)=INT(AK$1),$J4*1440,IF(INT($F4)=INT(AK$1),$K4*1440,IF(ISERROR(VLOOKUP($G4,IBase!$A:$AQ,36+WEEKDAY(DATE(YEAR(AK$1),MONTH(AK$1),DAY(AK$1)),2),0)),0,VLOOKUP($G4,IBase!$A:$AQ,36+WEEKDAY(DATE(YEAR(AK$1),MONTH(AK$1),DAY(AK$1)),2),0)))),IF(INT($E4)=INT(AK$1),$J4*1440,$K4*1440)))),"")</f>
        <v>31.099999998696148</v>
      </c>
      <c r="AL4" s="17">
        <f>IF(AND(INT($E4)&lt;=AL$1,INT($F4)&gt;=AL$1),IF(AL$2="X",0,IF(INT($E4)=INT($F4),$I4*1440,IF((INT($F4)-INT($E4))&gt;=2,IF(INT($E4)=INT(AL$1),$J4*1440,IF(INT($F4)=INT(AL$1),$K4*1440,IF(ISERROR(VLOOKUP($G4,IBase!$A:$AQ,36+WEEKDAY(DATE(YEAR(AL$1),MONTH(AL$1),DAY(AL$1)),2),0)),0,VLOOKUP($G4,IBase!$A:$AQ,36+WEEKDAY(DATE(YEAR(AL$1),MONTH(AL$1),DAY(AL$1)),2),0)))),IF(INT($E4)=INT(AL$1),$J4*1440,$K4*1440)))),"")</f>
        <v>480.00000000000006</v>
      </c>
      <c r="AM4" s="17">
        <f>IF(AND(INT($E4)&lt;=AM$1,INT($F4)&gt;=AM$1),IF(AM$2="X",0,IF(INT($E4)=INT($F4),$I4*1440,IF((INT($F4)-INT($E4))&gt;=2,IF(INT($E4)=INT(AM$1),$J4*1440,IF(INT($F4)=INT(AM$1),$K4*1440,IF(ISERROR(VLOOKUP($G4,IBase!$A:$AQ,36+WEEKDAY(DATE(YEAR(AM$1),MONTH(AM$1),DAY(AM$1)),2),0)),0,VLOOKUP($G4,IBase!$A:$AQ,36+WEEKDAY(DATE(YEAR(AM$1),MONTH(AM$1),DAY(AM$1)),2),0)))),IF(INT($E4)=INT(AM$1),$J4*1440,$K4*1440)))),"")</f>
        <v>480.00000000000006</v>
      </c>
      <c r="AN4" s="17">
        <f>IF(AND(INT($E4)&lt;=AN$1,INT($F4)&gt;=AN$1),IF(AN$2="X",0,IF(INT($E4)=INT($F4),$I4*1440,IF((INT($F4)-INT($E4))&gt;=2,IF(INT($E4)=INT(AN$1),$J4*1440,IF(INT($F4)=INT(AN$1),$K4*1440,IF(ISERROR(VLOOKUP($G4,IBase!$A:$AQ,36+WEEKDAY(DATE(YEAR(AN$1),MONTH(AN$1),DAY(AN$1)),2),0)),0,VLOOKUP($G4,IBase!$A:$AQ,36+WEEKDAY(DATE(YEAR(AN$1),MONTH(AN$1),DAY(AN$1)),2),0)))),IF(INT($E4)=INT(AN$1),$J4*1440,$K4*1440)))),"")</f>
        <v>480.00000000000006</v>
      </c>
      <c r="AO4" s="17">
        <f>IF(AND(INT($E4)&lt;=AO$1,INT($F4)&gt;=AO$1),IF(AO$2="X",0,IF(INT($E4)=INT($F4),$I4*1440,IF((INT($F4)-INT($E4))&gt;=2,IF(INT($E4)=INT(AO$1),$J4*1440,IF(INT($F4)=INT(AO$1),$K4*1440,IF(ISERROR(VLOOKUP($G4,IBase!$A:$AQ,36+WEEKDAY(DATE(YEAR(AO$1),MONTH(AO$1),DAY(AO$1)),2),0)),0,VLOOKUP($G4,IBase!$A:$AQ,36+WEEKDAY(DATE(YEAR(AO$1),MONTH(AO$1),DAY(AO$1)),2),0)))),IF(INT($E4)=INT(AO$1),$J4*1440,$K4*1440)))),"")</f>
        <v>480.00000000000006</v>
      </c>
      <c r="AP4" s="17">
        <f>IF(AND(INT($E4)&lt;=AP$1,INT($F4)&gt;=AP$1),IF(AP$2="X",0,IF(INT($E4)=INT($F4),$I4*1440,IF((INT($F4)-INT($E4))&gt;=2,IF(INT($E4)=INT(AP$1),$J4*1440,IF(INT($F4)=INT(AP$1),$K4*1440,IF(ISERROR(VLOOKUP($G4,IBase!$A:$AQ,36+WEEKDAY(DATE(YEAR(AP$1),MONTH(AP$1),DAY(AP$1)),2),0)),0,VLOOKUP($G4,IBase!$A:$AQ,36+WEEKDAY(DATE(YEAR(AP$1),MONTH(AP$1),DAY(AP$1)),2),0)))),IF(INT($E4)=INT(AP$1),$J4*1440,$K4*1440)))),"")</f>
        <v>0</v>
      </c>
      <c r="AQ4" s="17">
        <f>IF(AND(INT($E4)&lt;=AQ$1,INT($F4)&gt;=AQ$1),IF(AQ$2="X",0,IF(INT($E4)=INT($F4),$I4*1440,IF((INT($F4)-INT($E4))&gt;=2,IF(INT($E4)=INT(AQ$1),$J4*1440,IF(INT($F4)=INT(AQ$1),$K4*1440,IF(ISERROR(VLOOKUP($G4,IBase!$A:$AQ,36+WEEKDAY(DATE(YEAR(AQ$1),MONTH(AQ$1),DAY(AQ$1)),2),0)),0,VLOOKUP($G4,IBase!$A:$AQ,36+WEEKDAY(DATE(YEAR(AQ$1),MONTH(AQ$1),DAY(AQ$1)),2),0)))),IF(INT($E4)=INT(AQ$1),$J4*1440,$K4*1440)))),"")</f>
        <v>0</v>
      </c>
      <c r="AR4" s="17">
        <f>IF(AND(INT($E4)&lt;=AR$1,INT($F4)&gt;=AR$1),IF(AR$2="X",0,IF(INT($E4)=INT($F4),$I4*1440,IF((INT($F4)-INT($E4))&gt;=2,IF(INT($E4)=INT(AR$1),$J4*1440,IF(INT($F4)=INT(AR$1),$K4*1440,IF(ISERROR(VLOOKUP($G4,IBase!$A:$AQ,36+WEEKDAY(DATE(YEAR(AR$1),MONTH(AR$1),DAY(AR$1)),2),0)),0,VLOOKUP($G4,IBase!$A:$AQ,36+WEEKDAY(DATE(YEAR(AR$1),MONTH(AR$1),DAY(AR$1)),2),0)))),IF(INT($E4)=INT(AR$1),$J4*1440,$K4*1440)))),"")</f>
        <v>480.00000000000006</v>
      </c>
      <c r="AS4" s="17">
        <f>IF(AND(INT($E4)&lt;=AS$1,INT($F4)&gt;=AS$1),IF(AS$2="X",0,IF(INT($E4)=INT($F4),$I4*1440,IF((INT($F4)-INT($E4))&gt;=2,IF(INT($E4)=INT(AS$1),$J4*1440,IF(INT($F4)=INT(AS$1),$K4*1440,IF(ISERROR(VLOOKUP($G4,IBase!$A:$AQ,36+WEEKDAY(DATE(YEAR(AS$1),MONTH(AS$1),DAY(AS$1)),2),0)),0,VLOOKUP($G4,IBase!$A:$AQ,36+WEEKDAY(DATE(YEAR(AS$1),MONTH(AS$1),DAY(AS$1)),2),0)))),IF(INT($E4)=INT(AS$1),$J4*1440,$K4*1440)))),"")</f>
        <v>480.00000000000006</v>
      </c>
      <c r="AT4" s="17">
        <f>IF(AND(INT($E4)&lt;=AT$1,INT($F4)&gt;=AT$1),IF(AT$2="X",0,IF(INT($E4)=INT($F4),$I4*1440,IF((INT($F4)-INT($E4))&gt;=2,IF(INT($E4)=INT(AT$1),$J4*1440,IF(INT($F4)=INT(AT$1),$K4*1440,IF(ISERROR(VLOOKUP($G4,IBase!$A:$AQ,36+WEEKDAY(DATE(YEAR(AT$1),MONTH(AT$1),DAY(AT$1)),2),0)),0,VLOOKUP($G4,IBase!$A:$AQ,36+WEEKDAY(DATE(YEAR(AT$1),MONTH(AT$1),DAY(AT$1)),2),0)))),IF(INT($E4)=INT(AT$1),$J4*1440,$K4*1440)))),"")</f>
        <v>480.00000000349246</v>
      </c>
    </row>
    <row r="5" spans="1:46" x14ac:dyDescent="0.3">
      <c r="A5" s="21" t="s">
        <v>70</v>
      </c>
      <c r="B5" s="21">
        <v>2</v>
      </c>
      <c r="C5" s="21" t="str">
        <f>VLOOKUP(A5,IBase!A:R,18,0)</f>
        <v>L-S(9-17)</v>
      </c>
      <c r="D5" s="21" t="s">
        <v>73</v>
      </c>
      <c r="E5" s="22">
        <v>45962.770069444443</v>
      </c>
      <c r="F5" s="22">
        <v>45980.853407407405</v>
      </c>
      <c r="G5" s="14" t="str">
        <f>IFERROR(VLOOKUP(A5,IBase!A:A,1,0),D5)</f>
        <v>V00127</v>
      </c>
      <c r="H5" s="13">
        <f t="shared" ref="H5" si="1">IFERROR(SUM(L5:AT5),0)</f>
        <v>9031.0999999952037</v>
      </c>
      <c r="I5" s="13">
        <f>IF(ISERROR(MAX(0,IF(F5&gt;(DATE(YEAR(E5),MONTH(E5),DAY(E5))+VLOOKUP(G5,IBase!A:AJ,(29+WEEKDAY(E5,2)),0)*1),(DATE(YEAR(E5),MONTH(E5),DAY(E5))+VLOOKUP(G5,IBase!A:AJ,(29+WEEKDAY(E5,2)),0)*1),F5)-IF(E5&gt;(DATE(YEAR(E5),MONTH(E5),DAY(E5))+VLOOKUP(G5,IBase!A:AC,(22+WEEKDAY(E5,2)),0)*1),E5,(DATE(YEAR(E5),MONTH(E5),DAY(E5))+VLOOKUP(G5,IBase!A:AC,(22+WEEKDAY(E5,2)),0)*1)))),0,MAX(0,IF(F5&gt;(DATE(YEAR(E5),MONTH(E5),DAY(E5))+VLOOKUP(G5,IBase!A:AJ,(29+WEEKDAY(E5,2)),0)*1),(DATE(YEAR(E5),MONTH(E5),DAY(E5))+VLOOKUP(G5,IBase!A:AJ,(29+WEEKDAY(E5,2)),0)*1),F5)-IF(E5&gt;(DATE(YEAR(E5),MONTH(E5),DAY(E5))+VLOOKUP(G5,IBase!A:AC,(22+WEEKDAY(E5,2)),0)*1),E5,(DATE(YEAR(E5),MONTH(E5),DAY(E5))+VLOOKUP(G5,IBase!A:AC,(22+WEEKDAY(E5,2)),0)*1))))</f>
        <v>2.159722222131677E-2</v>
      </c>
      <c r="J5" s="13">
        <f>IF(ISERROR(MAX(0,DATE(YEAR(E5),MONTH(E5),DAY(E5))+VLOOKUP(G5,IBase!A:AJ,(29+WEEKDAY(E5,2)),0)-(IF(E5&gt;DATE(YEAR(E5),MONTH(E5),DAY(E5))+VLOOKUP(G5,IBase!A:AC,(22+WEEKDAY(E5,2)),0),E5,DATE(YEAR(E5),MONTH(E5),DAY(E5))+VLOOKUP(G5,IBase!A:AC,(22+WEEKDAY(E5,2)),0))))),0,MAX(0,DATE(YEAR(E5),MONTH(E5),DAY(E5))+VLOOKUP(G5,IBase!A:AJ,(29+WEEKDAY(E5,2)),0)-(IF(E5&gt;DATE(YEAR(E5),MONTH(E5),DAY(E5))+VLOOKUP(G5,IBase!A:AC,(22+WEEKDAY(E5,2)),0),E5,DATE(YEAR(E5),MONTH(E5),DAY(E5))+VLOOKUP(G5,IBase!A:AC,(22+WEEKDAY(E5,2)),0)))))</f>
        <v>2.159722222131677E-2</v>
      </c>
      <c r="K5" s="13">
        <f>IF(ISERROR(MAX(0,(IF(F5&lt;DATE(YEAR(F5),MONTH(F5),DAY(F5))+VLOOKUP(G5,IBase!A:AJ,(29+WEEKDAY(F5,2)),0),F5,DATE(YEAR(F5),MONTH(F5),DAY(F5))+VLOOKUP(G5,IBase!A:AJ,(29+WEEKDAY(F5,2)),0)))-(DATE(YEAR(F5),MONTH(F5),DAY(F5))+VLOOKUP(G5,IBase!A:AC,(22+WEEKDAY(F5,2)),0)))),0,MAX(0,(IF(F5&lt;DATE(YEAR(F5),MONTH(F5),DAY(F5))+VLOOKUP(G5,IBase!A:AJ,(29+WEEKDAY(F5,2)),0),F5,DATE(YEAR(F5),MONTH(F5),DAY(F5))+VLOOKUP(G5,IBase!A:AJ,(29+WEEKDAY(F5,2)),0)))-(DATE(YEAR(F5),MONTH(F5),DAY(F5))+VLOOKUP(G5,IBase!A:AC,(22+WEEKDAY(F5,2)),0))))</f>
        <v>0.41666666666424135</v>
      </c>
      <c r="L5" s="17" t="str">
        <f>IF(AND(INT($E5)&lt;=L$1,INT($F5)&gt;=L$1),IF(L$2="X",0,IF(INT($E5)=INT($F5),$I5*1440,IF((INT($F5)-INT($E5))&gt;=2,IF(INT($E5)=INT(L$1),$J5*1440,IF(INT($F5)=INT(L$1),$K5*1440,IF(ISERROR(VLOOKUP($G5,IBase!$A:$AQ,36+WEEKDAY(DATE(YEAR(L$1),MONTH(L$1),DAY(L$1)),2),0)),0,VLOOKUP($G5,IBase!$A:$AQ,36+WEEKDAY(DATE(YEAR(L$1),MONTH(L$1),DAY(L$1)),2),0)))),IF(INT($E5)=INT(L$1),$J5*1440,$K5*1440)))),"")</f>
        <v/>
      </c>
      <c r="M5" s="17" t="str">
        <f>IF(AND(INT($E5)&lt;=M$1,INT($F5)&gt;=M$1),IF(M$2="X",0,IF(INT($E5)=INT($F5),$I5*1440,IF((INT($F5)-INT($E5))&gt;=2,IF(INT($E5)=INT(M$1),$J5*1440,IF(INT($F5)=INT(M$1),$K5*1440,IF(ISERROR(VLOOKUP($G5,IBase!$A:$AQ,36+WEEKDAY(DATE(YEAR(M$1),MONTH(M$1),DAY(M$1)),2),0)),0,VLOOKUP($G5,IBase!$A:$AQ,36+WEEKDAY(DATE(YEAR(M$1),MONTH(M$1),DAY(M$1)),2),0)))),IF(INT($E5)=INT(M$1),$J5*1440,$K5*1440)))),"")</f>
        <v/>
      </c>
      <c r="N5" s="17" t="str">
        <f>IF(AND(INT($E5)&lt;=N$1,INT($F5)&gt;=N$1),IF(N$2="X",0,IF(INT($E5)=INT($F5),$I5*1440,IF((INT($F5)-INT($E5))&gt;=2,IF(INT($E5)=INT(N$1),$J5*1440,IF(INT($F5)=INT(N$1),$K5*1440,IF(ISERROR(VLOOKUP($G5,IBase!$A:$AQ,36+WEEKDAY(DATE(YEAR(N$1),MONTH(N$1),DAY(N$1)),2),0)),0,VLOOKUP($G5,IBase!$A:$AQ,36+WEEKDAY(DATE(YEAR(N$1),MONTH(N$1),DAY(N$1)),2),0)))),IF(INT($E5)=INT(N$1),$J5*1440,$K5*1440)))),"")</f>
        <v/>
      </c>
      <c r="O5" s="17" t="str">
        <f>IF(AND(INT($E5)&lt;=O$1,INT($F5)&gt;=O$1),IF(O$2="X",0,IF(INT($E5)=INT($F5),$I5*1440,IF((INT($F5)-INT($E5))&gt;=2,IF(INT($E5)=INT(O$1),$J5*1440,IF(INT($F5)=INT(O$1),$K5*1440,IF(ISERROR(VLOOKUP($G5,IBase!$A:$AQ,36+WEEKDAY(DATE(YEAR(O$1),MONTH(O$1),DAY(O$1)),2),0)),0,VLOOKUP($G5,IBase!$A:$AQ,36+WEEKDAY(DATE(YEAR(O$1),MONTH(O$1),DAY(O$1)),2),0)))),IF(INT($E5)=INT(O$1),$J5*1440,$K5*1440)))),"")</f>
        <v/>
      </c>
      <c r="P5" s="17" t="str">
        <f>IF(AND(INT($E5)&lt;=P$1,INT($F5)&gt;=P$1),IF(P$2="X",0,IF(INT($E5)=INT($F5),$I5*1440,IF((INT($F5)-INT($E5))&gt;=2,IF(INT($E5)=INT(P$1),$J5*1440,IF(INT($F5)=INT(P$1),$K5*1440,IF(ISERROR(VLOOKUP($G5,IBase!$A:$AQ,36+WEEKDAY(DATE(YEAR(P$1),MONTH(P$1),DAY(P$1)),2),0)),0,VLOOKUP($G5,IBase!$A:$AQ,36+WEEKDAY(DATE(YEAR(P$1),MONTH(P$1),DAY(P$1)),2),0)))),IF(INT($E5)=INT(P$1),$J5*1440,$K5*1440)))),"")</f>
        <v/>
      </c>
      <c r="Q5" s="17" t="str">
        <f>IF(AND(INT($E5)&lt;=Q$1,INT($F5)&gt;=Q$1),IF(Q$2="X",0,IF(INT($E5)=INT($F5),$I5*1440,IF((INT($F5)-INT($E5))&gt;=2,IF(INT($E5)=INT(Q$1),$J5*1440,IF(INT($F5)=INT(Q$1),$K5*1440,IF(ISERROR(VLOOKUP($G5,IBase!$A:$AQ,36+WEEKDAY(DATE(YEAR(Q$1),MONTH(Q$1),DAY(Q$1)),2),0)),0,VLOOKUP($G5,IBase!$A:$AQ,36+WEEKDAY(DATE(YEAR(Q$1),MONTH(Q$1),DAY(Q$1)),2),0)))),IF(INT($E5)=INT(Q$1),$J5*1440,$K5*1440)))),"")</f>
        <v/>
      </c>
      <c r="R5" s="17" t="str">
        <f>IF(AND(INT($E5)&lt;=R$1,INT($F5)&gt;=R$1),IF(R$2="X",0,IF(INT($E5)=INT($F5),$I5*1440,IF((INT($F5)-INT($E5))&gt;=2,IF(INT($E5)=INT(R$1),$J5*1440,IF(INT($F5)=INT(R$1),$K5*1440,IF(ISERROR(VLOOKUP($G5,IBase!$A:$AQ,36+WEEKDAY(DATE(YEAR(R$1),MONTH(R$1),DAY(R$1)),2),0)),0,VLOOKUP($G5,IBase!$A:$AQ,36+WEEKDAY(DATE(YEAR(R$1),MONTH(R$1),DAY(R$1)),2),0)))),IF(INT($E5)=INT(R$1),$J5*1440,$K5*1440)))),"")</f>
        <v/>
      </c>
      <c r="S5" s="17" t="str">
        <f>IF(AND(INT($E5)&lt;=S$1,INT($F5)&gt;=S$1),IF(S$2="X",0,IF(INT($E5)=INT($F5),$I5*1440,IF((INT($F5)-INT($E5))&gt;=2,IF(INT($E5)=INT(S$1),$J5*1440,IF(INT($F5)=INT(S$1),$K5*1440,IF(ISERROR(VLOOKUP($G5,IBase!$A:$AQ,36+WEEKDAY(DATE(YEAR(S$1),MONTH(S$1),DAY(S$1)),2),0)),0,VLOOKUP($G5,IBase!$A:$AQ,36+WEEKDAY(DATE(YEAR(S$1),MONTH(S$1),DAY(S$1)),2),0)))),IF(INT($E5)=INT(S$1),$J5*1440,$K5*1440)))),"")</f>
        <v/>
      </c>
      <c r="T5" s="17" t="str">
        <f>IF(AND(INT($E5)&lt;=T$1,INT($F5)&gt;=T$1),IF(T$2="X",0,IF(INT($E5)=INT($F5),$I5*1440,IF((INT($F5)-INT($E5))&gt;=2,IF(INT($E5)=INT(T$1),$J5*1440,IF(INT($F5)=INT(T$1),$K5*1440,IF(ISERROR(VLOOKUP($G5,IBase!$A:$AQ,36+WEEKDAY(DATE(YEAR(T$1),MONTH(T$1),DAY(T$1)),2),0)),0,VLOOKUP($G5,IBase!$A:$AQ,36+WEEKDAY(DATE(YEAR(T$1),MONTH(T$1),DAY(T$1)),2),0)))),IF(INT($E5)=INT(T$1),$J5*1440,$K5*1440)))),"")</f>
        <v/>
      </c>
      <c r="U5" s="17" t="str">
        <f>IF(AND(INT($E5)&lt;=U$1,INT($F5)&gt;=U$1),IF(U$2="X",0,IF(INT($E5)=INT($F5),$I5*1440,IF((INT($F5)-INT($E5))&gt;=2,IF(INT($E5)=INT(U$1),$J5*1440,IF(INT($F5)=INT(U$1),$K5*1440,IF(ISERROR(VLOOKUP($G5,IBase!$A:$AQ,36+WEEKDAY(DATE(YEAR(U$1),MONTH(U$1),DAY(U$1)),2),0)),0,VLOOKUP($G5,IBase!$A:$AQ,36+WEEKDAY(DATE(YEAR(U$1),MONTH(U$1),DAY(U$1)),2),0)))),IF(INT($E5)=INT(U$1),$J5*1440,$K5*1440)))),"")</f>
        <v/>
      </c>
      <c r="V5" s="17" t="str">
        <f>IF(AND(INT($E5)&lt;=V$1,INT($F5)&gt;=V$1),IF(V$2="X",0,IF(INT($E5)=INT($F5),$I5*1440,IF((INT($F5)-INT($E5))&gt;=2,IF(INT($E5)=INT(V$1),$J5*1440,IF(INT($F5)=INT(V$1),$K5*1440,IF(ISERROR(VLOOKUP($G5,IBase!$A:$AQ,36+WEEKDAY(DATE(YEAR(V$1),MONTH(V$1),DAY(V$1)),2),0)),0,VLOOKUP($G5,IBase!$A:$AQ,36+WEEKDAY(DATE(YEAR(V$1),MONTH(V$1),DAY(V$1)),2),0)))),IF(INT($E5)=INT(V$1),$J5*1440,$K5*1440)))),"")</f>
        <v/>
      </c>
      <c r="W5" s="17" t="str">
        <f>IF(AND(INT($E5)&lt;=W$1,INT($F5)&gt;=W$1),IF(W$2="X",0,IF(INT($E5)=INT($F5),$I5*1440,IF((INT($F5)-INT($E5))&gt;=2,IF(INT($E5)=INT(W$1),$J5*1440,IF(INT($F5)=INT(W$1),$K5*1440,IF(ISERROR(VLOOKUP($G5,IBase!$A:$AQ,36+WEEKDAY(DATE(YEAR(W$1),MONTH(W$1),DAY(W$1)),2),0)),0,VLOOKUP($G5,IBase!$A:$AQ,36+WEEKDAY(DATE(YEAR(W$1),MONTH(W$1),DAY(W$1)),2),0)))),IF(INT($E5)=INT(W$1),$J5*1440,$K5*1440)))),"")</f>
        <v/>
      </c>
      <c r="X5" s="17" t="str">
        <f>IF(AND(INT($E5)&lt;=X$1,INT($F5)&gt;=X$1),IF(X$2="X",0,IF(INT($E5)=INT($F5),$I5*1440,IF((INT($F5)-INT($E5))&gt;=2,IF(INT($E5)=INT(X$1),$J5*1440,IF(INT($F5)=INT(X$1),$K5*1440,IF(ISERROR(VLOOKUP($G5,IBase!$A:$AQ,36+WEEKDAY(DATE(YEAR(X$1),MONTH(X$1),DAY(X$1)),2),0)),0,VLOOKUP($G5,IBase!$A:$AQ,36+WEEKDAY(DATE(YEAR(X$1),MONTH(X$1),DAY(X$1)),2),0)))),IF(INT($E5)=INT(X$1),$J5*1440,$K5*1440)))),"")</f>
        <v/>
      </c>
      <c r="Y5" s="17" t="str">
        <f>IF(AND(INT($E5)&lt;=Y$1,INT($F5)&gt;=Y$1),IF(Y$2="X",0,IF(INT($E5)=INT($F5),$I5*1440,IF((INT($F5)-INT($E5))&gt;=2,IF(INT($E5)=INT(Y$1),$J5*1440,IF(INT($F5)=INT(Y$1),$K5*1440,IF(ISERROR(VLOOKUP($G5,IBase!$A:$AQ,36+WEEKDAY(DATE(YEAR(Y$1),MONTH(Y$1),DAY(Y$1)),2),0)),0,VLOOKUP($G5,IBase!$A:$AQ,36+WEEKDAY(DATE(YEAR(Y$1),MONTH(Y$1),DAY(Y$1)),2),0)))),IF(INT($E5)=INT(Y$1),$J5*1440,$K5*1440)))),"")</f>
        <v/>
      </c>
      <c r="Z5" s="17" t="str">
        <f>IF(AND(INT($E5)&lt;=Z$1,INT($F5)&gt;=Z$1),IF(Z$2="X",0,IF(INT($E5)=INT($F5),$I5*1440,IF((INT($F5)-INT($E5))&gt;=2,IF(INT($E5)=INT(Z$1),$J5*1440,IF(INT($F5)=INT(Z$1),$K5*1440,IF(ISERROR(VLOOKUP($G5,IBase!$A:$AQ,36+WEEKDAY(DATE(YEAR(Z$1),MONTH(Z$1),DAY(Z$1)),2),0)),0,VLOOKUP($G5,IBase!$A:$AQ,36+WEEKDAY(DATE(YEAR(Z$1),MONTH(Z$1),DAY(Z$1)),2),0)))),IF(INT($E5)=INT(Z$1),$J5*1440,$K5*1440)))),"")</f>
        <v/>
      </c>
      <c r="AA5" s="17" t="str">
        <f>IF(AND(INT($E5)&lt;=AA$1,INT($F5)&gt;=AA$1),IF(AA$2="X",0,IF(INT($E5)=INT($F5),$I5*1440,IF((INT($F5)-INT($E5))&gt;=2,IF(INT($E5)=INT(AA$1),$J5*1440,IF(INT($F5)=INT(AA$1),$K5*1440,IF(ISERROR(VLOOKUP($G5,IBase!$A:$AQ,36+WEEKDAY(DATE(YEAR(AA$1),MONTH(AA$1),DAY(AA$1)),2),0)),0,VLOOKUP($G5,IBase!$A:$AQ,36+WEEKDAY(DATE(YEAR(AA$1),MONTH(AA$1),DAY(AA$1)),2),0)))),IF(INT($E5)=INT(AA$1),$J5*1440,$K5*1440)))),"")</f>
        <v/>
      </c>
      <c r="AB5" s="17">
        <f>IF(AND(INT($E5)&lt;=AB$1,INT($F5)&gt;=AB$1),IF(AB$2="X",0,IF(INT($E5)=INT($F5),$I5*1440,IF((INT($F5)-INT($E5))&gt;=2,IF(INT($E5)=INT(AB$1),$J5*1440,IF(INT($F5)=INT(AB$1),$K5*1440,IF(ISERROR(VLOOKUP($G5,IBase!$A:$AQ,36+WEEKDAY(DATE(YEAR(AB$1),MONTH(AB$1),DAY(AB$1)),2),0)),0,VLOOKUP($G5,IBase!$A:$AQ,36+WEEKDAY(DATE(YEAR(AB$1),MONTH(AB$1),DAY(AB$1)),2),0)))),IF(INT($E5)=INT(AB$1),$J5*1440,$K5*1440)))),"")</f>
        <v>31.099999998696148</v>
      </c>
      <c r="AC5" s="17">
        <f>IF(AND(INT($E5)&lt;=AC$1,INT($F5)&gt;=AC$1),IF(AC$2="X",0,IF(INT($E5)=INT($F5),$I5*1440,IF((INT($F5)-INT($E5))&gt;=2,IF(INT($E5)=INT(AC$1),$J5*1440,IF(INT($F5)=INT(AC$1),$K5*1440,IF(ISERROR(VLOOKUP($G5,IBase!$A:$AQ,36+WEEKDAY(DATE(YEAR(AC$1),MONTH(AC$1),DAY(AC$1)),2),0)),0,VLOOKUP($G5,IBase!$A:$AQ,36+WEEKDAY(DATE(YEAR(AC$1),MONTH(AC$1),DAY(AC$1)),2),0)))),IF(INT($E5)=INT(AC$1),$J5*1440,$K5*1440)))),"")</f>
        <v>0</v>
      </c>
      <c r="AD5" s="17">
        <f>IF(AND(INT($E5)&lt;=AD$1,INT($F5)&gt;=AD$1),IF(AD$2="X",0,IF(INT($E5)=INT($F5),$I5*1440,IF((INT($F5)-INT($E5))&gt;=2,IF(INT($E5)=INT(AD$1),$J5*1440,IF(INT($F5)=INT(AD$1),$K5*1440,IF(ISERROR(VLOOKUP($G5,IBase!$A:$AQ,36+WEEKDAY(DATE(YEAR(AD$1),MONTH(AD$1),DAY(AD$1)),2),0)),0,VLOOKUP($G5,IBase!$A:$AQ,36+WEEKDAY(DATE(YEAR(AD$1),MONTH(AD$1),DAY(AD$1)),2),0)))),IF(INT($E5)=INT(AD$1),$J5*1440,$K5*1440)))),"")</f>
        <v>600</v>
      </c>
      <c r="AE5" s="17">
        <f>IF(AND(INT($E5)&lt;=AE$1,INT($F5)&gt;=AE$1),IF(AE$2="X",0,IF(INT($E5)=INT($F5),$I5*1440,IF((INT($F5)-INT($E5))&gt;=2,IF(INT($E5)=INT(AE$1),$J5*1440,IF(INT($F5)=INT(AE$1),$K5*1440,IF(ISERROR(VLOOKUP($G5,IBase!$A:$AQ,36+WEEKDAY(DATE(YEAR(AE$1),MONTH(AE$1),DAY(AE$1)),2),0)),0,VLOOKUP($G5,IBase!$A:$AQ,36+WEEKDAY(DATE(YEAR(AE$1),MONTH(AE$1),DAY(AE$1)),2),0)))),IF(INT($E5)=INT(AE$1),$J5*1440,$K5*1440)))),"")</f>
        <v>600</v>
      </c>
      <c r="AF5" s="17">
        <f>IF(AND(INT($E5)&lt;=AF$1,INT($F5)&gt;=AF$1),IF(AF$2="X",0,IF(INT($E5)=INT($F5),$I5*1440,IF((INT($F5)-INT($E5))&gt;=2,IF(INT($E5)=INT(AF$1),$J5*1440,IF(INT($F5)=INT(AF$1),$K5*1440,IF(ISERROR(VLOOKUP($G5,IBase!$A:$AQ,36+WEEKDAY(DATE(YEAR(AF$1),MONTH(AF$1),DAY(AF$1)),2),0)),0,VLOOKUP($G5,IBase!$A:$AQ,36+WEEKDAY(DATE(YEAR(AF$1),MONTH(AF$1),DAY(AF$1)),2),0)))),IF(INT($E5)=INT(AF$1),$J5*1440,$K5*1440)))),"")</f>
        <v>600</v>
      </c>
      <c r="AG5" s="17">
        <f>IF(AND(INT($E5)&lt;=AG$1,INT($F5)&gt;=AG$1),IF(AG$2="X",0,IF(INT($E5)=INT($F5),$I5*1440,IF((INT($F5)-INT($E5))&gt;=2,IF(INT($E5)=INT(AG$1),$J5*1440,IF(INT($F5)=INT(AG$1),$K5*1440,IF(ISERROR(VLOOKUP($G5,IBase!$A:$AQ,36+WEEKDAY(DATE(YEAR(AG$1),MONTH(AG$1),DAY(AG$1)),2),0)),0,VLOOKUP($G5,IBase!$A:$AQ,36+WEEKDAY(DATE(YEAR(AG$1),MONTH(AG$1),DAY(AG$1)),2),0)))),IF(INT($E5)=INT(AG$1),$J5*1440,$K5*1440)))),"")</f>
        <v>600</v>
      </c>
      <c r="AH5" s="17">
        <f>IF(AND(INT($E5)&lt;=AH$1,INT($F5)&gt;=AH$1),IF(AH$2="X",0,IF(INT($E5)=INT($F5),$I5*1440,IF((INT($F5)-INT($E5))&gt;=2,IF(INT($E5)=INT(AH$1),$J5*1440,IF(INT($F5)=INT(AH$1),$K5*1440,IF(ISERROR(VLOOKUP($G5,IBase!$A:$AQ,36+WEEKDAY(DATE(YEAR(AH$1),MONTH(AH$1),DAY(AH$1)),2),0)),0,VLOOKUP($G5,IBase!$A:$AQ,36+WEEKDAY(DATE(YEAR(AH$1),MONTH(AH$1),DAY(AH$1)),2),0)))),IF(INT($E5)=INT(AH$1),$J5*1440,$K5*1440)))),"")</f>
        <v>600</v>
      </c>
      <c r="AI5" s="17">
        <f>IF(AND(INT($E5)&lt;=AI$1,INT($F5)&gt;=AI$1),IF(AI$2="X",0,IF(INT($E5)=INT($F5),$I5*1440,IF((INT($F5)-INT($E5))&gt;=2,IF(INT($E5)=INT(AI$1),$J5*1440,IF(INT($F5)=INT(AI$1),$K5*1440,IF(ISERROR(VLOOKUP($G5,IBase!$A:$AQ,36+WEEKDAY(DATE(YEAR(AI$1),MONTH(AI$1),DAY(AI$1)),2),0)),0,VLOOKUP($G5,IBase!$A:$AQ,36+WEEKDAY(DATE(YEAR(AI$1),MONTH(AI$1),DAY(AI$1)),2),0)))),IF(INT($E5)=INT(AI$1),$J5*1440,$K5*1440)))),"")</f>
        <v>600</v>
      </c>
      <c r="AJ5" s="17">
        <f>IF(AND(INT($E5)&lt;=AJ$1,INT($F5)&gt;=AJ$1),IF(AJ$2="X",0,IF(INT($E5)=INT($F5),$I5*1440,IF((INT($F5)-INT($E5))&gt;=2,IF(INT($E5)=INT(AJ$1),$J5*1440,IF(INT($F5)=INT(AJ$1),$K5*1440,IF(ISERROR(VLOOKUP($G5,IBase!$A:$AQ,36+WEEKDAY(DATE(YEAR(AJ$1),MONTH(AJ$1),DAY(AJ$1)),2),0)),0,VLOOKUP($G5,IBase!$A:$AQ,36+WEEKDAY(DATE(YEAR(AJ$1),MONTH(AJ$1),DAY(AJ$1)),2),0)))),IF(INT($E5)=INT(AJ$1),$J5*1440,$K5*1440)))),"")</f>
        <v>0</v>
      </c>
      <c r="AK5" s="17">
        <f>IF(AND(INT($E5)&lt;=AK$1,INT($F5)&gt;=AK$1),IF(AK$2="X",0,IF(INT($E5)=INT($F5),$I5*1440,IF((INT($F5)-INT($E5))&gt;=2,IF(INT($E5)=INT(AK$1),$J5*1440,IF(INT($F5)=INT(AK$1),$K5*1440,IF(ISERROR(VLOOKUP($G5,IBase!$A:$AQ,36+WEEKDAY(DATE(YEAR(AK$1),MONTH(AK$1),DAY(AK$1)),2),0)),0,VLOOKUP($G5,IBase!$A:$AQ,36+WEEKDAY(DATE(YEAR(AK$1),MONTH(AK$1),DAY(AK$1)),2),0)))),IF(INT($E5)=INT(AK$1),$J5*1440,$K5*1440)))),"")</f>
        <v>600</v>
      </c>
      <c r="AL5" s="17">
        <f>IF(AND(INT($E5)&lt;=AL$1,INT($F5)&gt;=AL$1),IF(AL$2="X",0,IF(INT($E5)=INT($F5),$I5*1440,IF((INT($F5)-INT($E5))&gt;=2,IF(INT($E5)=INT(AL$1),$J5*1440,IF(INT($F5)=INT(AL$1),$K5*1440,IF(ISERROR(VLOOKUP($G5,IBase!$A:$AQ,36+WEEKDAY(DATE(YEAR(AL$1),MONTH(AL$1),DAY(AL$1)),2),0)),0,VLOOKUP($G5,IBase!$A:$AQ,36+WEEKDAY(DATE(YEAR(AL$1),MONTH(AL$1),DAY(AL$1)),2),0)))),IF(INT($E5)=INT(AL$1),$J5*1440,$K5*1440)))),"")</f>
        <v>600</v>
      </c>
      <c r="AM5" s="17">
        <f>IF(AND(INT($E5)&lt;=AM$1,INT($F5)&gt;=AM$1),IF(AM$2="X",0,IF(INT($E5)=INT($F5),$I5*1440,IF((INT($F5)-INT($E5))&gt;=2,IF(INT($E5)=INT(AM$1),$J5*1440,IF(INT($F5)=INT(AM$1),$K5*1440,IF(ISERROR(VLOOKUP($G5,IBase!$A:$AQ,36+WEEKDAY(DATE(YEAR(AM$1),MONTH(AM$1),DAY(AM$1)),2),0)),0,VLOOKUP($G5,IBase!$A:$AQ,36+WEEKDAY(DATE(YEAR(AM$1),MONTH(AM$1),DAY(AM$1)),2),0)))),IF(INT($E5)=INT(AM$1),$J5*1440,$K5*1440)))),"")</f>
        <v>600</v>
      </c>
      <c r="AN5" s="17">
        <f>IF(AND(INT($E5)&lt;=AN$1,INT($F5)&gt;=AN$1),IF(AN$2="X",0,IF(INT($E5)=INT($F5),$I5*1440,IF((INT($F5)-INT($E5))&gt;=2,IF(INT($E5)=INT(AN$1),$J5*1440,IF(INT($F5)=INT(AN$1),$K5*1440,IF(ISERROR(VLOOKUP($G5,IBase!$A:$AQ,36+WEEKDAY(DATE(YEAR(AN$1),MONTH(AN$1),DAY(AN$1)),2),0)),0,VLOOKUP($G5,IBase!$A:$AQ,36+WEEKDAY(DATE(YEAR(AN$1),MONTH(AN$1),DAY(AN$1)),2),0)))),IF(INT($E5)=INT(AN$1),$J5*1440,$K5*1440)))),"")</f>
        <v>600</v>
      </c>
      <c r="AO5" s="17">
        <f>IF(AND(INT($E5)&lt;=AO$1,INT($F5)&gt;=AO$1),IF(AO$2="X",0,IF(INT($E5)=INT($F5),$I5*1440,IF((INT($F5)-INT($E5))&gt;=2,IF(INT($E5)=INT(AO$1),$J5*1440,IF(INT($F5)=INT(AO$1),$K5*1440,IF(ISERROR(VLOOKUP($G5,IBase!$A:$AQ,36+WEEKDAY(DATE(YEAR(AO$1),MONTH(AO$1),DAY(AO$1)),2),0)),0,VLOOKUP($G5,IBase!$A:$AQ,36+WEEKDAY(DATE(YEAR(AO$1),MONTH(AO$1),DAY(AO$1)),2),0)))),IF(INT($E5)=INT(AO$1),$J5*1440,$K5*1440)))),"")</f>
        <v>600</v>
      </c>
      <c r="AP5" s="17">
        <f>IF(AND(INT($E5)&lt;=AP$1,INT($F5)&gt;=AP$1),IF(AP$2="X",0,IF(INT($E5)=INT($F5),$I5*1440,IF((INT($F5)-INT($E5))&gt;=2,IF(INT($E5)=INT(AP$1),$J5*1440,IF(INT($F5)=INT(AP$1),$K5*1440,IF(ISERROR(VLOOKUP($G5,IBase!$A:$AQ,36+WEEKDAY(DATE(YEAR(AP$1),MONTH(AP$1),DAY(AP$1)),2),0)),0,VLOOKUP($G5,IBase!$A:$AQ,36+WEEKDAY(DATE(YEAR(AP$1),MONTH(AP$1),DAY(AP$1)),2),0)))),IF(INT($E5)=INT(AP$1),$J5*1440,$K5*1440)))),"")</f>
        <v>600</v>
      </c>
      <c r="AQ5" s="17">
        <f>IF(AND(INT($E5)&lt;=AQ$1,INT($F5)&gt;=AQ$1),IF(AQ$2="X",0,IF(INT($E5)=INT($F5),$I5*1440,IF((INT($F5)-INT($E5))&gt;=2,IF(INT($E5)=INT(AQ$1),$J5*1440,IF(INT($F5)=INT(AQ$1),$K5*1440,IF(ISERROR(VLOOKUP($G5,IBase!$A:$AQ,36+WEEKDAY(DATE(YEAR(AQ$1),MONTH(AQ$1),DAY(AQ$1)),2),0)),0,VLOOKUP($G5,IBase!$A:$AQ,36+WEEKDAY(DATE(YEAR(AQ$1),MONTH(AQ$1),DAY(AQ$1)),2),0)))),IF(INT($E5)=INT(AQ$1),$J5*1440,$K5*1440)))),"")</f>
        <v>0</v>
      </c>
      <c r="AR5" s="17">
        <f>IF(AND(INT($E5)&lt;=AR$1,INT($F5)&gt;=AR$1),IF(AR$2="X",0,IF(INT($E5)=INT($F5),$I5*1440,IF((INT($F5)-INT($E5))&gt;=2,IF(INT($E5)=INT(AR$1),$J5*1440,IF(INT($F5)=INT(AR$1),$K5*1440,IF(ISERROR(VLOOKUP($G5,IBase!$A:$AQ,36+WEEKDAY(DATE(YEAR(AR$1),MONTH(AR$1),DAY(AR$1)),2),0)),0,VLOOKUP($G5,IBase!$A:$AQ,36+WEEKDAY(DATE(YEAR(AR$1),MONTH(AR$1),DAY(AR$1)),2),0)))),IF(INT($E5)=INT(AR$1),$J5*1440,$K5*1440)))),"")</f>
        <v>600</v>
      </c>
      <c r="AS5" s="17">
        <f>IF(AND(INT($E5)&lt;=AS$1,INT($F5)&gt;=AS$1),IF(AS$2="X",0,IF(INT($E5)=INT($F5),$I5*1440,IF((INT($F5)-INT($E5))&gt;=2,IF(INT($E5)=INT(AS$1),$J5*1440,IF(INT($F5)=INT(AS$1),$K5*1440,IF(ISERROR(VLOOKUP($G5,IBase!$A:$AQ,36+WEEKDAY(DATE(YEAR(AS$1),MONTH(AS$1),DAY(AS$1)),2),0)),0,VLOOKUP($G5,IBase!$A:$AQ,36+WEEKDAY(DATE(YEAR(AS$1),MONTH(AS$1),DAY(AS$1)),2),0)))),IF(INT($E5)=INT(AS$1),$J5*1440,$K5*1440)))),"")</f>
        <v>600</v>
      </c>
      <c r="AT5" s="17">
        <f>IF(AND(INT($E5)&lt;=AT$1,INT($F5)&gt;=AT$1),IF(AT$2="X",0,IF(INT($E5)=INT($F5),$I5*1440,IF((INT($F5)-INT($E5))&gt;=2,IF(INT($E5)=INT(AT$1),$J5*1440,IF(INT($F5)=INT(AT$1),$K5*1440,IF(ISERROR(VLOOKUP($G5,IBase!$A:$AQ,36+WEEKDAY(DATE(YEAR(AT$1),MONTH(AT$1),DAY(AT$1)),2),0)),0,VLOOKUP($G5,IBase!$A:$AQ,36+WEEKDAY(DATE(YEAR(AT$1),MONTH(AT$1),DAY(AT$1)),2),0)))),IF(INT($E5)=INT(AT$1),$J5*1440,$K5*1440)))),"")</f>
        <v>599.99999999650754</v>
      </c>
    </row>
    <row r="6" spans="1:46" x14ac:dyDescent="0.3">
      <c r="A6" s="21" t="s">
        <v>71</v>
      </c>
      <c r="B6" s="21">
        <v>3</v>
      </c>
      <c r="C6" s="21" t="str">
        <f>VLOOKUP(A6,IBase!A:R,18,0)</f>
        <v>L-V(8-20),S-D(9-14)</v>
      </c>
      <c r="D6" s="21" t="s">
        <v>74</v>
      </c>
      <c r="E6" s="22">
        <v>45976.588888888888</v>
      </c>
      <c r="F6" s="22">
        <v>45980.555555555555</v>
      </c>
      <c r="G6" s="14" t="str">
        <f>IFERROR(VLOOKUP(A6,IBase!A:A,1,0),D6)</f>
        <v>V00136</v>
      </c>
      <c r="H6" s="13">
        <f t="shared" ref="H6" si="2">IFERROR(SUM(L6:AT6),0)</f>
        <v>2059.9999999953434</v>
      </c>
      <c r="I6" s="13">
        <f>IF(ISERROR(MAX(0,IF(F6&gt;(DATE(YEAR(E6),MONTH(E6),DAY(E6))+VLOOKUP(G6,IBase!A:AJ,(29+WEEKDAY(E6,2)),0)*1),(DATE(YEAR(E6),MONTH(E6),DAY(E6))+VLOOKUP(G6,IBase!A:AJ,(29+WEEKDAY(E6,2)),0)*1),F6)-IF(E6&gt;(DATE(YEAR(E6),MONTH(E6),DAY(E6))+VLOOKUP(G6,IBase!A:AC,(22+WEEKDAY(E6,2)),0)*1),E6,(DATE(YEAR(E6),MONTH(E6),DAY(E6))+VLOOKUP(G6,IBase!A:AC,(22+WEEKDAY(E6,2)),0)*1)))),0,MAX(0,IF(F6&gt;(DATE(YEAR(E6),MONTH(E6),DAY(E6))+VLOOKUP(G6,IBase!A:AJ,(29+WEEKDAY(E6,2)),0)*1),(DATE(YEAR(E6),MONTH(E6),DAY(E6))+VLOOKUP(G6,IBase!A:AJ,(29+WEEKDAY(E6,2)),0)*1),F6)-IF(E6&gt;(DATE(YEAR(E6),MONTH(E6),DAY(E6))+VLOOKUP(G6,IBase!A:AC,(22+WEEKDAY(E6,2)),0)*1),E6,(DATE(YEAR(E6),MONTH(E6),DAY(E6))+VLOOKUP(G6,IBase!A:AC,(22+WEEKDAY(E6,2)),0)*1))))</f>
        <v>0</v>
      </c>
      <c r="J6" s="13">
        <f>IF(ISERROR(MAX(0,DATE(YEAR(E6),MONTH(E6),DAY(E6))+VLOOKUP(G6,IBase!A:AJ,(29+WEEKDAY(E6,2)),0)-(IF(E6&gt;DATE(YEAR(E6),MONTH(E6),DAY(E6))+VLOOKUP(G6,IBase!A:AC,(22+WEEKDAY(E6,2)),0),E6,DATE(YEAR(E6),MONTH(E6),DAY(E6))+VLOOKUP(G6,IBase!A:AC,(22+WEEKDAY(E6,2)),0))))),0,MAX(0,DATE(YEAR(E6),MONTH(E6),DAY(E6))+VLOOKUP(G6,IBase!A:AJ,(29+WEEKDAY(E6,2)),0)-(IF(E6&gt;DATE(YEAR(E6),MONTH(E6),DAY(E6))+VLOOKUP(G6,IBase!A:AC,(22+WEEKDAY(E6,2)),0),E6,DATE(YEAR(E6),MONTH(E6),DAY(E6))+VLOOKUP(G6,IBase!A:AC,(22+WEEKDAY(E6,2)),0)))))</f>
        <v>0</v>
      </c>
      <c r="K6" s="13">
        <f>IF(ISERROR(MAX(0,(IF(F6&lt;DATE(YEAR(F6),MONTH(F6),DAY(F6))+VLOOKUP(G6,IBase!A:AJ,(29+WEEKDAY(F6,2)),0),F6,DATE(YEAR(F6),MONTH(F6),DAY(F6))+VLOOKUP(G6,IBase!A:AJ,(29+WEEKDAY(F6,2)),0)))-(DATE(YEAR(F6),MONTH(F6),DAY(F6))+VLOOKUP(G6,IBase!A:AC,(22+WEEKDAY(F6,2)),0)))),0,MAX(0,(IF(F6&lt;DATE(YEAR(F6),MONTH(F6),DAY(F6))+VLOOKUP(G6,IBase!A:AJ,(29+WEEKDAY(F6,2)),0),F6,DATE(YEAR(F6),MONTH(F6),DAY(F6))+VLOOKUP(G6,IBase!A:AJ,(29+WEEKDAY(F6,2)),0)))-(DATE(YEAR(F6),MONTH(F6),DAY(F6))+VLOOKUP(G6,IBase!A:AC,(22+WEEKDAY(F6,2)),0))))</f>
        <v>0.22222222221898846</v>
      </c>
      <c r="L6" s="17" t="str">
        <f>IF(AND(INT($E6)&lt;=L$1,INT($F6)&gt;=L$1),IF(L$2="X",0,IF(INT($E6)=INT($F6),$I6*1440,IF((INT($F6)-INT($E6))&gt;=2,IF(INT($E6)=INT(L$1),$J6*1440,IF(INT($F6)=INT(L$1),$K6*1440,IF(ISERROR(VLOOKUP($G6,IBase!$A:$AQ,36+WEEKDAY(DATE(YEAR(L$1),MONTH(L$1),DAY(L$1)),2),0)),0,VLOOKUP($G6,IBase!$A:$AQ,36+WEEKDAY(DATE(YEAR(L$1),MONTH(L$1),DAY(L$1)),2),0)))),IF(INT($E6)=INT(L$1),$J6*1440,$K6*1440)))),"")</f>
        <v/>
      </c>
      <c r="M6" s="17" t="str">
        <f>IF(AND(INT($E6)&lt;=M$1,INT($F6)&gt;=M$1),IF(M$2="X",0,IF(INT($E6)=INT($F6),$I6*1440,IF((INT($F6)-INT($E6))&gt;=2,IF(INT($E6)=INT(M$1),$J6*1440,IF(INT($F6)=INT(M$1),$K6*1440,IF(ISERROR(VLOOKUP($G6,IBase!$A:$AQ,36+WEEKDAY(DATE(YEAR(M$1),MONTH(M$1),DAY(M$1)),2),0)),0,VLOOKUP($G6,IBase!$A:$AQ,36+WEEKDAY(DATE(YEAR(M$1),MONTH(M$1),DAY(M$1)),2),0)))),IF(INT($E6)=INT(M$1),$J6*1440,$K6*1440)))),"")</f>
        <v/>
      </c>
      <c r="N6" s="17" t="str">
        <f>IF(AND(INT($E6)&lt;=N$1,INT($F6)&gt;=N$1),IF(N$2="X",0,IF(INT($E6)=INT($F6),$I6*1440,IF((INT($F6)-INT($E6))&gt;=2,IF(INT($E6)=INT(N$1),$J6*1440,IF(INT($F6)=INT(N$1),$K6*1440,IF(ISERROR(VLOOKUP($G6,IBase!$A:$AQ,36+WEEKDAY(DATE(YEAR(N$1),MONTH(N$1),DAY(N$1)),2),0)),0,VLOOKUP($G6,IBase!$A:$AQ,36+WEEKDAY(DATE(YEAR(N$1),MONTH(N$1),DAY(N$1)),2),0)))),IF(INT($E6)=INT(N$1),$J6*1440,$K6*1440)))),"")</f>
        <v/>
      </c>
      <c r="O6" s="17" t="str">
        <f>IF(AND(INT($E6)&lt;=O$1,INT($F6)&gt;=O$1),IF(O$2="X",0,IF(INT($E6)=INT($F6),$I6*1440,IF((INT($F6)-INT($E6))&gt;=2,IF(INT($E6)=INT(O$1),$J6*1440,IF(INT($F6)=INT(O$1),$K6*1440,IF(ISERROR(VLOOKUP($G6,IBase!$A:$AQ,36+WEEKDAY(DATE(YEAR(O$1),MONTH(O$1),DAY(O$1)),2),0)),0,VLOOKUP($G6,IBase!$A:$AQ,36+WEEKDAY(DATE(YEAR(O$1),MONTH(O$1),DAY(O$1)),2),0)))),IF(INT($E6)=INT(O$1),$J6*1440,$K6*1440)))),"")</f>
        <v/>
      </c>
      <c r="P6" s="17" t="str">
        <f>IF(AND(INT($E6)&lt;=P$1,INT($F6)&gt;=P$1),IF(P$2="X",0,IF(INT($E6)=INT($F6),$I6*1440,IF((INT($F6)-INT($E6))&gt;=2,IF(INT($E6)=INT(P$1),$J6*1440,IF(INT($F6)=INT(P$1),$K6*1440,IF(ISERROR(VLOOKUP($G6,IBase!$A:$AQ,36+WEEKDAY(DATE(YEAR(P$1),MONTH(P$1),DAY(P$1)),2),0)),0,VLOOKUP($G6,IBase!$A:$AQ,36+WEEKDAY(DATE(YEAR(P$1),MONTH(P$1),DAY(P$1)),2),0)))),IF(INT($E6)=INT(P$1),$J6*1440,$K6*1440)))),"")</f>
        <v/>
      </c>
      <c r="Q6" s="17" t="str">
        <f>IF(AND(INT($E6)&lt;=Q$1,INT($F6)&gt;=Q$1),IF(Q$2="X",0,IF(INT($E6)=INT($F6),$I6*1440,IF((INT($F6)-INT($E6))&gt;=2,IF(INT($E6)=INT(Q$1),$J6*1440,IF(INT($F6)=INT(Q$1),$K6*1440,IF(ISERROR(VLOOKUP($G6,IBase!$A:$AQ,36+WEEKDAY(DATE(YEAR(Q$1),MONTH(Q$1),DAY(Q$1)),2),0)),0,VLOOKUP($G6,IBase!$A:$AQ,36+WEEKDAY(DATE(YEAR(Q$1),MONTH(Q$1),DAY(Q$1)),2),0)))),IF(INT($E6)=INT(Q$1),$J6*1440,$K6*1440)))),"")</f>
        <v/>
      </c>
      <c r="R6" s="17" t="str">
        <f>IF(AND(INT($E6)&lt;=R$1,INT($F6)&gt;=R$1),IF(R$2="X",0,IF(INT($E6)=INT($F6),$I6*1440,IF((INT($F6)-INT($E6))&gt;=2,IF(INT($E6)=INT(R$1),$J6*1440,IF(INT($F6)=INT(R$1),$K6*1440,IF(ISERROR(VLOOKUP($G6,IBase!$A:$AQ,36+WEEKDAY(DATE(YEAR(R$1),MONTH(R$1),DAY(R$1)),2),0)),0,VLOOKUP($G6,IBase!$A:$AQ,36+WEEKDAY(DATE(YEAR(R$1),MONTH(R$1),DAY(R$1)),2),0)))),IF(INT($E6)=INT(R$1),$J6*1440,$K6*1440)))),"")</f>
        <v/>
      </c>
      <c r="S6" s="17" t="str">
        <f>IF(AND(INT($E6)&lt;=S$1,INT($F6)&gt;=S$1),IF(S$2="X",0,IF(INT($E6)=INT($F6),$I6*1440,IF((INT($F6)-INT($E6))&gt;=2,IF(INT($E6)=INT(S$1),$J6*1440,IF(INT($F6)=INT(S$1),$K6*1440,IF(ISERROR(VLOOKUP($G6,IBase!$A:$AQ,36+WEEKDAY(DATE(YEAR(S$1),MONTH(S$1),DAY(S$1)),2),0)),0,VLOOKUP($G6,IBase!$A:$AQ,36+WEEKDAY(DATE(YEAR(S$1),MONTH(S$1),DAY(S$1)),2),0)))),IF(INT($E6)=INT(S$1),$J6*1440,$K6*1440)))),"")</f>
        <v/>
      </c>
      <c r="T6" s="17" t="str">
        <f>IF(AND(INT($E6)&lt;=T$1,INT($F6)&gt;=T$1),IF(T$2="X",0,IF(INT($E6)=INT($F6),$I6*1440,IF((INT($F6)-INT($E6))&gt;=2,IF(INT($E6)=INT(T$1),$J6*1440,IF(INT($F6)=INT(T$1),$K6*1440,IF(ISERROR(VLOOKUP($G6,IBase!$A:$AQ,36+WEEKDAY(DATE(YEAR(T$1),MONTH(T$1),DAY(T$1)),2),0)),0,VLOOKUP($G6,IBase!$A:$AQ,36+WEEKDAY(DATE(YEAR(T$1),MONTH(T$1),DAY(T$1)),2),0)))),IF(INT($E6)=INT(T$1),$J6*1440,$K6*1440)))),"")</f>
        <v/>
      </c>
      <c r="U6" s="17" t="str">
        <f>IF(AND(INT($E6)&lt;=U$1,INT($F6)&gt;=U$1),IF(U$2="X",0,IF(INT($E6)=INT($F6),$I6*1440,IF((INT($F6)-INT($E6))&gt;=2,IF(INT($E6)=INT(U$1),$J6*1440,IF(INT($F6)=INT(U$1),$K6*1440,IF(ISERROR(VLOOKUP($G6,IBase!$A:$AQ,36+WEEKDAY(DATE(YEAR(U$1),MONTH(U$1),DAY(U$1)),2),0)),0,VLOOKUP($G6,IBase!$A:$AQ,36+WEEKDAY(DATE(YEAR(U$1),MONTH(U$1),DAY(U$1)),2),0)))),IF(INT($E6)=INT(U$1),$J6*1440,$K6*1440)))),"")</f>
        <v/>
      </c>
      <c r="V6" s="17" t="str">
        <f>IF(AND(INT($E6)&lt;=V$1,INT($F6)&gt;=V$1),IF(V$2="X",0,IF(INT($E6)=INT($F6),$I6*1440,IF((INT($F6)-INT($E6))&gt;=2,IF(INT($E6)=INT(V$1),$J6*1440,IF(INT($F6)=INT(V$1),$K6*1440,IF(ISERROR(VLOOKUP($G6,IBase!$A:$AQ,36+WEEKDAY(DATE(YEAR(V$1),MONTH(V$1),DAY(V$1)),2),0)),0,VLOOKUP($G6,IBase!$A:$AQ,36+WEEKDAY(DATE(YEAR(V$1),MONTH(V$1),DAY(V$1)),2),0)))),IF(INT($E6)=INT(V$1),$J6*1440,$K6*1440)))),"")</f>
        <v/>
      </c>
      <c r="W6" s="17" t="str">
        <f>IF(AND(INT($E6)&lt;=W$1,INT($F6)&gt;=W$1),IF(W$2="X",0,IF(INT($E6)=INT($F6),$I6*1440,IF((INT($F6)-INT($E6))&gt;=2,IF(INT($E6)=INT(W$1),$J6*1440,IF(INT($F6)=INT(W$1),$K6*1440,IF(ISERROR(VLOOKUP($G6,IBase!$A:$AQ,36+WEEKDAY(DATE(YEAR(W$1),MONTH(W$1),DAY(W$1)),2),0)),0,VLOOKUP($G6,IBase!$A:$AQ,36+WEEKDAY(DATE(YEAR(W$1),MONTH(W$1),DAY(W$1)),2),0)))),IF(INT($E6)=INT(W$1),$J6*1440,$K6*1440)))),"")</f>
        <v/>
      </c>
      <c r="X6" s="17" t="str">
        <f>IF(AND(INT($E6)&lt;=X$1,INT($F6)&gt;=X$1),IF(X$2="X",0,IF(INT($E6)=INT($F6),$I6*1440,IF((INT($F6)-INT($E6))&gt;=2,IF(INT($E6)=INT(X$1),$J6*1440,IF(INT($F6)=INT(X$1),$K6*1440,IF(ISERROR(VLOOKUP($G6,IBase!$A:$AQ,36+WEEKDAY(DATE(YEAR(X$1),MONTH(X$1),DAY(X$1)),2),0)),0,VLOOKUP($G6,IBase!$A:$AQ,36+WEEKDAY(DATE(YEAR(X$1),MONTH(X$1),DAY(X$1)),2),0)))),IF(INT($E6)=INT(X$1),$J6*1440,$K6*1440)))),"")</f>
        <v/>
      </c>
      <c r="Y6" s="17" t="str">
        <f>IF(AND(INT($E6)&lt;=Y$1,INT($F6)&gt;=Y$1),IF(Y$2="X",0,IF(INT($E6)=INT($F6),$I6*1440,IF((INT($F6)-INT($E6))&gt;=2,IF(INT($E6)=INT(Y$1),$J6*1440,IF(INT($F6)=INT(Y$1),$K6*1440,IF(ISERROR(VLOOKUP($G6,IBase!$A:$AQ,36+WEEKDAY(DATE(YEAR(Y$1),MONTH(Y$1),DAY(Y$1)),2),0)),0,VLOOKUP($G6,IBase!$A:$AQ,36+WEEKDAY(DATE(YEAR(Y$1),MONTH(Y$1),DAY(Y$1)),2),0)))),IF(INT($E6)=INT(Y$1),$J6*1440,$K6*1440)))),"")</f>
        <v/>
      </c>
      <c r="Z6" s="17" t="str">
        <f>IF(AND(INT($E6)&lt;=Z$1,INT($F6)&gt;=Z$1),IF(Z$2="X",0,IF(INT($E6)=INT($F6),$I6*1440,IF((INT($F6)-INT($E6))&gt;=2,IF(INT($E6)=INT(Z$1),$J6*1440,IF(INT($F6)=INT(Z$1),$K6*1440,IF(ISERROR(VLOOKUP($G6,IBase!$A:$AQ,36+WEEKDAY(DATE(YEAR(Z$1),MONTH(Z$1),DAY(Z$1)),2),0)),0,VLOOKUP($G6,IBase!$A:$AQ,36+WEEKDAY(DATE(YEAR(Z$1),MONTH(Z$1),DAY(Z$1)),2),0)))),IF(INT($E6)=INT(Z$1),$J6*1440,$K6*1440)))),"")</f>
        <v/>
      </c>
      <c r="AA6" s="17" t="str">
        <f>IF(AND(INT($E6)&lt;=AA$1,INT($F6)&gt;=AA$1),IF(AA$2="X",0,IF(INT($E6)=INT($F6),$I6*1440,IF((INT($F6)-INT($E6))&gt;=2,IF(INT($E6)=INT(AA$1),$J6*1440,IF(INT($F6)=INT(AA$1),$K6*1440,IF(ISERROR(VLOOKUP($G6,IBase!$A:$AQ,36+WEEKDAY(DATE(YEAR(AA$1),MONTH(AA$1),DAY(AA$1)),2),0)),0,VLOOKUP($G6,IBase!$A:$AQ,36+WEEKDAY(DATE(YEAR(AA$1),MONTH(AA$1),DAY(AA$1)),2),0)))),IF(INT($E6)=INT(AA$1),$J6*1440,$K6*1440)))),"")</f>
        <v/>
      </c>
      <c r="AB6" s="17" t="str">
        <f>IF(AND(INT($E6)&lt;=AB$1,INT($F6)&gt;=AB$1),IF(AB$2="X",0,IF(INT($E6)=INT($F6),$I6*1440,IF((INT($F6)-INT($E6))&gt;=2,IF(INT($E6)=INT(AB$1),$J6*1440,IF(INT($F6)=INT(AB$1),$K6*1440,IF(ISERROR(VLOOKUP($G6,IBase!$A:$AQ,36+WEEKDAY(DATE(YEAR(AB$1),MONTH(AB$1),DAY(AB$1)),2),0)),0,VLOOKUP($G6,IBase!$A:$AQ,36+WEEKDAY(DATE(YEAR(AB$1),MONTH(AB$1),DAY(AB$1)),2),0)))),IF(INT($E6)=INT(AB$1),$J6*1440,$K6*1440)))),"")</f>
        <v/>
      </c>
      <c r="AC6" s="17" t="str">
        <f>IF(AND(INT($E6)&lt;=AC$1,INT($F6)&gt;=AC$1),IF(AC$2="X",0,IF(INT($E6)=INT($F6),$I6*1440,IF((INT($F6)-INT($E6))&gt;=2,IF(INT($E6)=INT(AC$1),$J6*1440,IF(INT($F6)=INT(AC$1),$K6*1440,IF(ISERROR(VLOOKUP($G6,IBase!$A:$AQ,36+WEEKDAY(DATE(YEAR(AC$1),MONTH(AC$1),DAY(AC$1)),2),0)),0,VLOOKUP($G6,IBase!$A:$AQ,36+WEEKDAY(DATE(YEAR(AC$1),MONTH(AC$1),DAY(AC$1)),2),0)))),IF(INT($E6)=INT(AC$1),$J6*1440,$K6*1440)))),"")</f>
        <v/>
      </c>
      <c r="AD6" s="17" t="str">
        <f>IF(AND(INT($E6)&lt;=AD$1,INT($F6)&gt;=AD$1),IF(AD$2="X",0,IF(INT($E6)=INT($F6),$I6*1440,IF((INT($F6)-INT($E6))&gt;=2,IF(INT($E6)=INT(AD$1),$J6*1440,IF(INT($F6)=INT(AD$1),$K6*1440,IF(ISERROR(VLOOKUP($G6,IBase!$A:$AQ,36+WEEKDAY(DATE(YEAR(AD$1),MONTH(AD$1),DAY(AD$1)),2),0)),0,VLOOKUP($G6,IBase!$A:$AQ,36+WEEKDAY(DATE(YEAR(AD$1),MONTH(AD$1),DAY(AD$1)),2),0)))),IF(INT($E6)=INT(AD$1),$J6*1440,$K6*1440)))),"")</f>
        <v/>
      </c>
      <c r="AE6" s="17" t="str">
        <f>IF(AND(INT($E6)&lt;=AE$1,INT($F6)&gt;=AE$1),IF(AE$2="X",0,IF(INT($E6)=INT($F6),$I6*1440,IF((INT($F6)-INT($E6))&gt;=2,IF(INT($E6)=INT(AE$1),$J6*1440,IF(INT($F6)=INT(AE$1),$K6*1440,IF(ISERROR(VLOOKUP($G6,IBase!$A:$AQ,36+WEEKDAY(DATE(YEAR(AE$1),MONTH(AE$1),DAY(AE$1)),2),0)),0,VLOOKUP($G6,IBase!$A:$AQ,36+WEEKDAY(DATE(YEAR(AE$1),MONTH(AE$1),DAY(AE$1)),2),0)))),IF(INT($E6)=INT(AE$1),$J6*1440,$K6*1440)))),"")</f>
        <v/>
      </c>
      <c r="AF6" s="17" t="str">
        <f>IF(AND(INT($E6)&lt;=AF$1,INT($F6)&gt;=AF$1),IF(AF$2="X",0,IF(INT($E6)=INT($F6),$I6*1440,IF((INT($F6)-INT($E6))&gt;=2,IF(INT($E6)=INT(AF$1),$J6*1440,IF(INT($F6)=INT(AF$1),$K6*1440,IF(ISERROR(VLOOKUP($G6,IBase!$A:$AQ,36+WEEKDAY(DATE(YEAR(AF$1),MONTH(AF$1),DAY(AF$1)),2),0)),0,VLOOKUP($G6,IBase!$A:$AQ,36+WEEKDAY(DATE(YEAR(AF$1),MONTH(AF$1),DAY(AF$1)),2),0)))),IF(INT($E6)=INT(AF$1),$J6*1440,$K6*1440)))),"")</f>
        <v/>
      </c>
      <c r="AG6" s="17" t="str">
        <f>IF(AND(INT($E6)&lt;=AG$1,INT($F6)&gt;=AG$1),IF(AG$2="X",0,IF(INT($E6)=INT($F6),$I6*1440,IF((INT($F6)-INT($E6))&gt;=2,IF(INT($E6)=INT(AG$1),$J6*1440,IF(INT($F6)=INT(AG$1),$K6*1440,IF(ISERROR(VLOOKUP($G6,IBase!$A:$AQ,36+WEEKDAY(DATE(YEAR(AG$1),MONTH(AG$1),DAY(AG$1)),2),0)),0,VLOOKUP($G6,IBase!$A:$AQ,36+WEEKDAY(DATE(YEAR(AG$1),MONTH(AG$1),DAY(AG$1)),2),0)))),IF(INT($E6)=INT(AG$1),$J6*1440,$K6*1440)))),"")</f>
        <v/>
      </c>
      <c r="AH6" s="17" t="str">
        <f>IF(AND(INT($E6)&lt;=AH$1,INT($F6)&gt;=AH$1),IF(AH$2="X",0,IF(INT($E6)=INT($F6),$I6*1440,IF((INT($F6)-INT($E6))&gt;=2,IF(INT($E6)=INT(AH$1),$J6*1440,IF(INT($F6)=INT(AH$1),$K6*1440,IF(ISERROR(VLOOKUP($G6,IBase!$A:$AQ,36+WEEKDAY(DATE(YEAR(AH$1),MONTH(AH$1),DAY(AH$1)),2),0)),0,VLOOKUP($G6,IBase!$A:$AQ,36+WEEKDAY(DATE(YEAR(AH$1),MONTH(AH$1),DAY(AH$1)),2),0)))),IF(INT($E6)=INT(AH$1),$J6*1440,$K6*1440)))),"")</f>
        <v/>
      </c>
      <c r="AI6" s="17" t="str">
        <f>IF(AND(INT($E6)&lt;=AI$1,INT($F6)&gt;=AI$1),IF(AI$2="X",0,IF(INT($E6)=INT($F6),$I6*1440,IF((INT($F6)-INT($E6))&gt;=2,IF(INT($E6)=INT(AI$1),$J6*1440,IF(INT($F6)=INT(AI$1),$K6*1440,IF(ISERROR(VLOOKUP($G6,IBase!$A:$AQ,36+WEEKDAY(DATE(YEAR(AI$1),MONTH(AI$1),DAY(AI$1)),2),0)),0,VLOOKUP($G6,IBase!$A:$AQ,36+WEEKDAY(DATE(YEAR(AI$1),MONTH(AI$1),DAY(AI$1)),2),0)))),IF(INT($E6)=INT(AI$1),$J6*1440,$K6*1440)))),"")</f>
        <v/>
      </c>
      <c r="AJ6" s="17" t="str">
        <f>IF(AND(INT($E6)&lt;=AJ$1,INT($F6)&gt;=AJ$1),IF(AJ$2="X",0,IF(INT($E6)=INT($F6),$I6*1440,IF((INT($F6)-INT($E6))&gt;=2,IF(INT($E6)=INT(AJ$1),$J6*1440,IF(INT($F6)=INT(AJ$1),$K6*1440,IF(ISERROR(VLOOKUP($G6,IBase!$A:$AQ,36+WEEKDAY(DATE(YEAR(AJ$1),MONTH(AJ$1),DAY(AJ$1)),2),0)),0,VLOOKUP($G6,IBase!$A:$AQ,36+WEEKDAY(DATE(YEAR(AJ$1),MONTH(AJ$1),DAY(AJ$1)),2),0)))),IF(INT($E6)=INT(AJ$1),$J6*1440,$K6*1440)))),"")</f>
        <v/>
      </c>
      <c r="AK6" s="17" t="str">
        <f>IF(AND(INT($E6)&lt;=AK$1,INT($F6)&gt;=AK$1),IF(AK$2="X",0,IF(INT($E6)=INT($F6),$I6*1440,IF((INT($F6)-INT($E6))&gt;=2,IF(INT($E6)=INT(AK$1),$J6*1440,IF(INT($F6)=INT(AK$1),$K6*1440,IF(ISERROR(VLOOKUP($G6,IBase!$A:$AQ,36+WEEKDAY(DATE(YEAR(AK$1),MONTH(AK$1),DAY(AK$1)),2),0)),0,VLOOKUP($G6,IBase!$A:$AQ,36+WEEKDAY(DATE(YEAR(AK$1),MONTH(AK$1),DAY(AK$1)),2),0)))),IF(INT($E6)=INT(AK$1),$J6*1440,$K6*1440)))),"")</f>
        <v/>
      </c>
      <c r="AL6" s="17" t="str">
        <f>IF(AND(INT($E6)&lt;=AL$1,INT($F6)&gt;=AL$1),IF(AL$2="X",0,IF(INT($E6)=INT($F6),$I6*1440,IF((INT($F6)-INT($E6))&gt;=2,IF(INT($E6)=INT(AL$1),$J6*1440,IF(INT($F6)=INT(AL$1),$K6*1440,IF(ISERROR(VLOOKUP($G6,IBase!$A:$AQ,36+WEEKDAY(DATE(YEAR(AL$1),MONTH(AL$1),DAY(AL$1)),2),0)),0,VLOOKUP($G6,IBase!$A:$AQ,36+WEEKDAY(DATE(YEAR(AL$1),MONTH(AL$1),DAY(AL$1)),2),0)))),IF(INT($E6)=INT(AL$1),$J6*1440,$K6*1440)))),"")</f>
        <v/>
      </c>
      <c r="AM6" s="17" t="str">
        <f>IF(AND(INT($E6)&lt;=AM$1,INT($F6)&gt;=AM$1),IF(AM$2="X",0,IF(INT($E6)=INT($F6),$I6*1440,IF((INT($F6)-INT($E6))&gt;=2,IF(INT($E6)=INT(AM$1),$J6*1440,IF(INT($F6)=INT(AM$1),$K6*1440,IF(ISERROR(VLOOKUP($G6,IBase!$A:$AQ,36+WEEKDAY(DATE(YEAR(AM$1),MONTH(AM$1),DAY(AM$1)),2),0)),0,VLOOKUP($G6,IBase!$A:$AQ,36+WEEKDAY(DATE(YEAR(AM$1),MONTH(AM$1),DAY(AM$1)),2),0)))),IF(INT($E6)=INT(AM$1),$J6*1440,$K6*1440)))),"")</f>
        <v/>
      </c>
      <c r="AN6" s="17" t="str">
        <f>IF(AND(INT($E6)&lt;=AN$1,INT($F6)&gt;=AN$1),IF(AN$2="X",0,IF(INT($E6)=INT($F6),$I6*1440,IF((INT($F6)-INT($E6))&gt;=2,IF(INT($E6)=INT(AN$1),$J6*1440,IF(INT($F6)=INT(AN$1),$K6*1440,IF(ISERROR(VLOOKUP($G6,IBase!$A:$AQ,36+WEEKDAY(DATE(YEAR(AN$1),MONTH(AN$1),DAY(AN$1)),2),0)),0,VLOOKUP($G6,IBase!$A:$AQ,36+WEEKDAY(DATE(YEAR(AN$1),MONTH(AN$1),DAY(AN$1)),2),0)))),IF(INT($E6)=INT(AN$1),$J6*1440,$K6*1440)))),"")</f>
        <v/>
      </c>
      <c r="AO6" s="17" t="str">
        <f>IF(AND(INT($E6)&lt;=AO$1,INT($F6)&gt;=AO$1),IF(AO$2="X",0,IF(INT($E6)=INT($F6),$I6*1440,IF((INT($F6)-INT($E6))&gt;=2,IF(INT($E6)=INT(AO$1),$J6*1440,IF(INT($F6)=INT(AO$1),$K6*1440,IF(ISERROR(VLOOKUP($G6,IBase!$A:$AQ,36+WEEKDAY(DATE(YEAR(AO$1),MONTH(AO$1),DAY(AO$1)),2),0)),0,VLOOKUP($G6,IBase!$A:$AQ,36+WEEKDAY(DATE(YEAR(AO$1),MONTH(AO$1),DAY(AO$1)),2),0)))),IF(INT($E6)=INT(AO$1),$J6*1440,$K6*1440)))),"")</f>
        <v/>
      </c>
      <c r="AP6" s="17">
        <f>IF(AND(INT($E6)&lt;=AP$1,INT($F6)&gt;=AP$1),IF(AP$2="X",0,IF(INT($E6)=INT($F6),$I6*1440,IF((INT($F6)-INT($E6))&gt;=2,IF(INT($E6)=INT(AP$1),$J6*1440,IF(INT($F6)=INT(AP$1),$K6*1440,IF(ISERROR(VLOOKUP($G6,IBase!$A:$AQ,36+WEEKDAY(DATE(YEAR(AP$1),MONTH(AP$1),DAY(AP$1)),2),0)),0,VLOOKUP($G6,IBase!$A:$AQ,36+WEEKDAY(DATE(YEAR(AP$1),MONTH(AP$1),DAY(AP$1)),2),0)))),IF(INT($E6)=INT(AP$1),$J6*1440,$K6*1440)))),"")</f>
        <v>0</v>
      </c>
      <c r="AQ6" s="17">
        <f>IF(AND(INT($E6)&lt;=AQ$1,INT($F6)&gt;=AQ$1),IF(AQ$2="X",0,IF(INT($E6)=INT($F6),$I6*1440,IF((INT($F6)-INT($E6))&gt;=2,IF(INT($E6)=INT(AQ$1),$J6*1440,IF(INT($F6)=INT(AQ$1),$K6*1440,IF(ISERROR(VLOOKUP($G6,IBase!$A:$AQ,36+WEEKDAY(DATE(YEAR(AQ$1),MONTH(AQ$1),DAY(AQ$1)),2),0)),0,VLOOKUP($G6,IBase!$A:$AQ,36+WEEKDAY(DATE(YEAR(AQ$1),MONTH(AQ$1),DAY(AQ$1)),2),0)))),IF(INT($E6)=INT(AQ$1),$J6*1440,$K6*1440)))),"")</f>
        <v>300.00000000000006</v>
      </c>
      <c r="AR6" s="17">
        <f>IF(AND(INT($E6)&lt;=AR$1,INT($F6)&gt;=AR$1),IF(AR$2="X",0,IF(INT($E6)=INT($F6),$I6*1440,IF((INT($F6)-INT($E6))&gt;=2,IF(INT($E6)=INT(AR$1),$J6*1440,IF(INT($F6)=INT(AR$1),$K6*1440,IF(ISERROR(VLOOKUP($G6,IBase!$A:$AQ,36+WEEKDAY(DATE(YEAR(AR$1),MONTH(AR$1),DAY(AR$1)),2),0)),0,VLOOKUP($G6,IBase!$A:$AQ,36+WEEKDAY(DATE(YEAR(AR$1),MONTH(AR$1),DAY(AR$1)),2),0)))),IF(INT($E6)=INT(AR$1),$J6*1440,$K6*1440)))),"")</f>
        <v>720</v>
      </c>
      <c r="AS6" s="17">
        <f>IF(AND(INT($E6)&lt;=AS$1,INT($F6)&gt;=AS$1),IF(AS$2="X",0,IF(INT($E6)=INT($F6),$I6*1440,IF((INT($F6)-INT($E6))&gt;=2,IF(INT($E6)=INT(AS$1),$J6*1440,IF(INT($F6)=INT(AS$1),$K6*1440,IF(ISERROR(VLOOKUP($G6,IBase!$A:$AQ,36+WEEKDAY(DATE(YEAR(AS$1),MONTH(AS$1),DAY(AS$1)),2),0)),0,VLOOKUP($G6,IBase!$A:$AQ,36+WEEKDAY(DATE(YEAR(AS$1),MONTH(AS$1),DAY(AS$1)),2),0)))),IF(INT($E6)=INT(AS$1),$J6*1440,$K6*1440)))),"")</f>
        <v>720</v>
      </c>
      <c r="AT6" s="17">
        <f>IF(AND(INT($E6)&lt;=AT$1,INT($F6)&gt;=AT$1),IF(AT$2="X",0,IF(INT($E6)=INT($F6),$I6*1440,IF((INT($F6)-INT($E6))&gt;=2,IF(INT($E6)=INT(AT$1),$J6*1440,IF(INT($F6)=INT(AT$1),$K6*1440,IF(ISERROR(VLOOKUP($G6,IBase!$A:$AQ,36+WEEKDAY(DATE(YEAR(AT$1),MONTH(AT$1),DAY(AT$1)),2),0)),0,VLOOKUP($G6,IBase!$A:$AQ,36+WEEKDAY(DATE(YEAR(AT$1),MONTH(AT$1),DAY(AT$1)),2),0)))),IF(INT($E6)=INT(AT$1),$J6*1440,$K6*1440)))),"")</f>
        <v>319.99999999534339</v>
      </c>
    </row>
  </sheetData>
  <sheetProtection algorithmName="SHA-512" hashValue="xjZotRum6dJT4dm+Sd5aryx2o6j+0AtrXcZBRYiq3o0hx5HDnu3R4MlB3YsaXhhB7N4ZQ4wzHMPa0U0t3x9eYA==" saltValue="PaIsBR+1kDIKkgCUNDoZPA==" spinCount="100000" sheet="1" objects="1" scenarios="1"/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AQ587"/>
  <sheetViews>
    <sheetView workbookViewId="0">
      <pane ySplit="1" topLeftCell="A2" activePane="bottomLeft" state="frozen"/>
      <selection activeCell="D38" sqref="D38"/>
      <selection pane="bottomLeft" activeCell="A2" sqref="A2"/>
    </sheetView>
  </sheetViews>
  <sheetFormatPr defaultColWidth="11.453125" defaultRowHeight="14" x14ac:dyDescent="0.3"/>
  <cols>
    <col min="1" max="1" width="11.1796875" style="6" bestFit="1" customWidth="1"/>
    <col min="2" max="2" width="16.54296875" style="6" customWidth="1"/>
    <col min="3" max="9" width="4.1796875" style="6" customWidth="1"/>
    <col min="10" max="12" width="9.81640625" style="6" customWidth="1"/>
    <col min="13" max="22" width="6.1796875" style="6" customWidth="1"/>
    <col min="23" max="29" width="6.81640625" style="7" hidden="1" customWidth="1"/>
    <col min="30" max="30" width="7.81640625" style="8" hidden="1" customWidth="1"/>
    <col min="31" max="36" width="6.81640625" style="8" hidden="1" customWidth="1"/>
    <col min="37" max="37" width="7.81640625" style="7" hidden="1" customWidth="1"/>
    <col min="38" max="42" width="6.81640625" style="7" hidden="1" customWidth="1"/>
    <col min="43" max="43" width="9.1796875" style="7" hidden="1" customWidth="1"/>
    <col min="44" max="16384" width="11.453125" style="6"/>
  </cols>
  <sheetData>
    <row r="1" spans="1:43" x14ac:dyDescent="0.3">
      <c r="A1" s="5" t="s">
        <v>42</v>
      </c>
      <c r="B1" s="5" t="s">
        <v>54</v>
      </c>
      <c r="C1" s="5" t="s">
        <v>43</v>
      </c>
      <c r="D1" s="5" t="s">
        <v>39</v>
      </c>
      <c r="E1" s="5" t="s">
        <v>38</v>
      </c>
      <c r="F1" s="5" t="s">
        <v>44</v>
      </c>
      <c r="G1" s="5" t="s">
        <v>45</v>
      </c>
      <c r="H1" s="5" t="s">
        <v>46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47</v>
      </c>
      <c r="N1" s="5" t="s">
        <v>59</v>
      </c>
      <c r="O1" s="5" t="s">
        <v>41</v>
      </c>
      <c r="P1" s="5" t="s">
        <v>48</v>
      </c>
      <c r="Q1" s="5" t="s">
        <v>49</v>
      </c>
      <c r="R1" s="5" t="s">
        <v>60</v>
      </c>
      <c r="S1" s="5" t="s">
        <v>60</v>
      </c>
      <c r="T1" s="5" t="s">
        <v>60</v>
      </c>
      <c r="U1" s="5" t="s">
        <v>61</v>
      </c>
      <c r="V1" s="5" t="s">
        <v>62</v>
      </c>
      <c r="W1" s="3">
        <v>1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7</v>
      </c>
      <c r="AD1" s="2">
        <v>1</v>
      </c>
      <c r="AE1" s="2">
        <v>2</v>
      </c>
      <c r="AF1" s="2">
        <v>3</v>
      </c>
      <c r="AG1" s="2">
        <v>4</v>
      </c>
      <c r="AH1" s="2">
        <v>5</v>
      </c>
      <c r="AI1" s="2">
        <v>6</v>
      </c>
      <c r="AJ1" s="2">
        <v>7</v>
      </c>
      <c r="AK1" s="4">
        <v>1</v>
      </c>
      <c r="AL1" s="4">
        <v>2</v>
      </c>
      <c r="AM1" s="4">
        <v>3</v>
      </c>
      <c r="AN1" s="4">
        <v>4</v>
      </c>
      <c r="AO1" s="4">
        <v>5</v>
      </c>
      <c r="AP1" s="4">
        <v>6</v>
      </c>
      <c r="AQ1" s="4">
        <v>7</v>
      </c>
    </row>
    <row r="2" spans="1:43" x14ac:dyDescent="0.3">
      <c r="A2" s="6" t="s">
        <v>69</v>
      </c>
      <c r="B2" s="6" t="s">
        <v>69</v>
      </c>
      <c r="C2" s="6" t="s">
        <v>51</v>
      </c>
      <c r="D2" s="6" t="s">
        <v>51</v>
      </c>
      <c r="E2" s="6" t="s">
        <v>51</v>
      </c>
      <c r="F2" s="6" t="s">
        <v>51</v>
      </c>
      <c r="G2" s="6" t="s">
        <v>51</v>
      </c>
      <c r="H2" s="6" t="s">
        <v>51</v>
      </c>
      <c r="I2" s="6" t="s">
        <v>51</v>
      </c>
      <c r="J2" s="6" t="s">
        <v>51</v>
      </c>
      <c r="K2" s="6" t="s">
        <v>51</v>
      </c>
      <c r="L2" s="6" t="s">
        <v>51</v>
      </c>
      <c r="M2" s="6" t="s">
        <v>51</v>
      </c>
      <c r="N2" s="6" t="s">
        <v>51</v>
      </c>
      <c r="O2" s="6" t="s">
        <v>51</v>
      </c>
      <c r="P2" s="6" t="s">
        <v>51</v>
      </c>
      <c r="Q2" s="6" t="s">
        <v>51</v>
      </c>
      <c r="R2" s="6" t="s">
        <v>75</v>
      </c>
      <c r="S2" s="6" t="s">
        <v>51</v>
      </c>
      <c r="T2" s="6" t="s">
        <v>51</v>
      </c>
      <c r="U2" s="6" t="s">
        <v>51</v>
      </c>
      <c r="V2" s="6" t="s">
        <v>52</v>
      </c>
      <c r="W2" s="16">
        <v>0.375</v>
      </c>
      <c r="X2" s="16">
        <v>0.375</v>
      </c>
      <c r="Y2" s="16">
        <v>0.375</v>
      </c>
      <c r="Z2" s="16">
        <v>0.375</v>
      </c>
      <c r="AA2" s="16">
        <v>0.375</v>
      </c>
      <c r="AB2" s="16" t="s">
        <v>51</v>
      </c>
      <c r="AC2" s="16" t="s">
        <v>51</v>
      </c>
      <c r="AD2" s="16">
        <v>0.70833333333333337</v>
      </c>
      <c r="AE2" s="16">
        <v>0.70833333333333337</v>
      </c>
      <c r="AF2" s="16">
        <v>0.70833333333333337</v>
      </c>
      <c r="AG2" s="16">
        <v>0.70833333333333337</v>
      </c>
      <c r="AH2" s="16">
        <v>0.70833333333333337</v>
      </c>
      <c r="AI2" s="16" t="s">
        <v>51</v>
      </c>
      <c r="AJ2" s="16" t="s">
        <v>51</v>
      </c>
      <c r="AK2" s="15">
        <v>480.00000000000006</v>
      </c>
      <c r="AL2" s="15">
        <v>480.00000000000006</v>
      </c>
      <c r="AM2" s="15">
        <v>480.00000000000006</v>
      </c>
      <c r="AN2" s="15">
        <v>480.00000000000006</v>
      </c>
      <c r="AO2" s="15">
        <v>480.00000000000006</v>
      </c>
      <c r="AP2" s="15">
        <v>0</v>
      </c>
      <c r="AQ2" s="15">
        <v>0</v>
      </c>
    </row>
    <row r="3" spans="1:43" x14ac:dyDescent="0.3">
      <c r="A3" s="6" t="s">
        <v>70</v>
      </c>
      <c r="B3" s="6" t="s">
        <v>70</v>
      </c>
      <c r="C3" s="6" t="s">
        <v>51</v>
      </c>
      <c r="D3" s="6" t="s">
        <v>51</v>
      </c>
      <c r="E3" s="6" t="s">
        <v>51</v>
      </c>
      <c r="F3" s="6" t="s">
        <v>51</v>
      </c>
      <c r="G3" s="6" t="s">
        <v>51</v>
      </c>
      <c r="H3" s="6" t="s">
        <v>51</v>
      </c>
      <c r="I3" s="6" t="s">
        <v>51</v>
      </c>
      <c r="J3" s="6" t="s">
        <v>51</v>
      </c>
      <c r="K3" s="6" t="s">
        <v>51</v>
      </c>
      <c r="L3" s="6" t="s">
        <v>51</v>
      </c>
      <c r="M3" s="6" t="s">
        <v>51</v>
      </c>
      <c r="N3" s="6" t="s">
        <v>51</v>
      </c>
      <c r="O3" s="6" t="s">
        <v>51</v>
      </c>
      <c r="P3" s="6" t="s">
        <v>51</v>
      </c>
      <c r="Q3" s="6" t="s">
        <v>51</v>
      </c>
      <c r="R3" s="6" t="s">
        <v>76</v>
      </c>
      <c r="S3" s="6" t="s">
        <v>51</v>
      </c>
      <c r="T3" s="6" t="s">
        <v>51</v>
      </c>
      <c r="U3" s="6" t="s">
        <v>51</v>
      </c>
      <c r="V3" s="6" t="s">
        <v>53</v>
      </c>
      <c r="W3" s="16">
        <v>0.375</v>
      </c>
      <c r="X3" s="16">
        <v>0.375</v>
      </c>
      <c r="Y3" s="16">
        <v>0.375</v>
      </c>
      <c r="Z3" s="16">
        <v>0.375</v>
      </c>
      <c r="AA3" s="16">
        <v>0.375</v>
      </c>
      <c r="AB3" s="16">
        <v>0.375</v>
      </c>
      <c r="AC3" s="16" t="s">
        <v>51</v>
      </c>
      <c r="AD3" s="16">
        <v>0.79166666666666663</v>
      </c>
      <c r="AE3" s="16">
        <v>0.79166666666666663</v>
      </c>
      <c r="AF3" s="16">
        <v>0.79166666666666663</v>
      </c>
      <c r="AG3" s="16">
        <v>0.79166666666666663</v>
      </c>
      <c r="AH3" s="16">
        <v>0.79166666666666663</v>
      </c>
      <c r="AI3" s="16">
        <v>0.79166666666666663</v>
      </c>
      <c r="AJ3" s="16" t="s">
        <v>51</v>
      </c>
      <c r="AK3" s="15">
        <v>600</v>
      </c>
      <c r="AL3" s="15">
        <v>600</v>
      </c>
      <c r="AM3" s="15">
        <v>600</v>
      </c>
      <c r="AN3" s="15">
        <v>600</v>
      </c>
      <c r="AO3" s="15">
        <v>600</v>
      </c>
      <c r="AP3" s="15">
        <v>600</v>
      </c>
      <c r="AQ3" s="15">
        <v>0</v>
      </c>
    </row>
    <row r="4" spans="1:43" x14ac:dyDescent="0.3">
      <c r="A4" s="6" t="s">
        <v>71</v>
      </c>
      <c r="B4" s="6" t="s">
        <v>71</v>
      </c>
      <c r="C4" s="6" t="s">
        <v>51</v>
      </c>
      <c r="D4" s="6" t="s">
        <v>51</v>
      </c>
      <c r="E4" s="6" t="s">
        <v>51</v>
      </c>
      <c r="F4" s="6" t="s">
        <v>51</v>
      </c>
      <c r="G4" s="6" t="s">
        <v>51</v>
      </c>
      <c r="H4" s="6" t="s">
        <v>51</v>
      </c>
      <c r="I4" s="6" t="s">
        <v>51</v>
      </c>
      <c r="J4" s="6" t="s">
        <v>51</v>
      </c>
      <c r="K4" s="6" t="s">
        <v>51</v>
      </c>
      <c r="L4" s="6" t="s">
        <v>51</v>
      </c>
      <c r="M4" s="6" t="s">
        <v>51</v>
      </c>
      <c r="N4" s="6" t="s">
        <v>51</v>
      </c>
      <c r="O4" s="6" t="s">
        <v>51</v>
      </c>
      <c r="P4" s="6" t="s">
        <v>51</v>
      </c>
      <c r="Q4" s="6" t="s">
        <v>51</v>
      </c>
      <c r="R4" s="6" t="s">
        <v>77</v>
      </c>
      <c r="S4" s="6" t="s">
        <v>51</v>
      </c>
      <c r="T4" s="6" t="s">
        <v>51</v>
      </c>
      <c r="U4" s="6" t="s">
        <v>51</v>
      </c>
      <c r="V4" s="6" t="s">
        <v>53</v>
      </c>
      <c r="W4" s="16">
        <v>0.33333333333333331</v>
      </c>
      <c r="X4" s="16">
        <v>0.33333333333333331</v>
      </c>
      <c r="Y4" s="16">
        <v>0.33333333333333331</v>
      </c>
      <c r="Z4" s="16">
        <v>0.33333333333333331</v>
      </c>
      <c r="AA4" s="16">
        <v>0.33333333333333331</v>
      </c>
      <c r="AB4" s="16">
        <v>0.375</v>
      </c>
      <c r="AC4" s="16">
        <v>0.375</v>
      </c>
      <c r="AD4" s="16">
        <v>0.83333333333333337</v>
      </c>
      <c r="AE4" s="16">
        <v>0.83333333333333337</v>
      </c>
      <c r="AF4" s="16">
        <v>0.83333333333333337</v>
      </c>
      <c r="AG4" s="16">
        <v>0.83333333333333337</v>
      </c>
      <c r="AH4" s="16">
        <v>0.83333333333333337</v>
      </c>
      <c r="AI4" s="16">
        <v>0.58333333333333337</v>
      </c>
      <c r="AJ4" s="16">
        <v>0.58333333333333337</v>
      </c>
      <c r="AK4" s="15">
        <v>720</v>
      </c>
      <c r="AL4" s="15">
        <v>720</v>
      </c>
      <c r="AM4" s="15">
        <v>720</v>
      </c>
      <c r="AN4" s="15">
        <v>720</v>
      </c>
      <c r="AO4" s="15">
        <v>720</v>
      </c>
      <c r="AP4" s="15">
        <v>300.00000000000006</v>
      </c>
      <c r="AQ4" s="15">
        <v>300.00000000000006</v>
      </c>
    </row>
    <row r="5" spans="1:43" x14ac:dyDescent="0.3"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5"/>
      <c r="AL5" s="15"/>
      <c r="AM5" s="15"/>
      <c r="AN5" s="15"/>
      <c r="AO5" s="15"/>
      <c r="AP5" s="15"/>
      <c r="AQ5" s="15"/>
    </row>
    <row r="6" spans="1:43" x14ac:dyDescent="0.3"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5"/>
      <c r="AL6" s="15"/>
      <c r="AM6" s="15"/>
      <c r="AN6" s="15"/>
      <c r="AO6" s="15"/>
      <c r="AP6" s="15"/>
      <c r="AQ6" s="15"/>
    </row>
    <row r="7" spans="1:43" x14ac:dyDescent="0.3"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5"/>
      <c r="AL7" s="15"/>
      <c r="AM7" s="15"/>
      <c r="AN7" s="15"/>
      <c r="AO7" s="15"/>
      <c r="AP7" s="15"/>
      <c r="AQ7" s="15"/>
    </row>
    <row r="8" spans="1:43" x14ac:dyDescent="0.3"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5"/>
      <c r="AL8" s="15"/>
      <c r="AM8" s="15"/>
      <c r="AN8" s="15"/>
      <c r="AO8" s="15"/>
      <c r="AP8" s="15"/>
      <c r="AQ8" s="15"/>
    </row>
    <row r="9" spans="1:43" x14ac:dyDescent="0.3"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5"/>
      <c r="AL9" s="15"/>
      <c r="AM9" s="15"/>
      <c r="AN9" s="15"/>
      <c r="AO9" s="15"/>
      <c r="AP9" s="15"/>
      <c r="AQ9" s="15"/>
    </row>
    <row r="10" spans="1:43" x14ac:dyDescent="0.3"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5"/>
      <c r="AL10" s="15"/>
      <c r="AM10" s="15"/>
      <c r="AN10" s="15"/>
      <c r="AO10" s="15"/>
      <c r="AP10" s="15"/>
      <c r="AQ10" s="15"/>
    </row>
    <row r="11" spans="1:43" x14ac:dyDescent="0.3"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5"/>
      <c r="AL11" s="15"/>
      <c r="AM11" s="15"/>
      <c r="AN11" s="15"/>
      <c r="AO11" s="15"/>
      <c r="AP11" s="15"/>
      <c r="AQ11" s="15"/>
    </row>
    <row r="12" spans="1:43" x14ac:dyDescent="0.3"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5"/>
      <c r="AL12" s="15"/>
      <c r="AM12" s="15"/>
      <c r="AN12" s="15"/>
      <c r="AO12" s="15"/>
      <c r="AP12" s="15"/>
      <c r="AQ12" s="15"/>
    </row>
    <row r="13" spans="1:43" x14ac:dyDescent="0.3"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5"/>
      <c r="AL13" s="15"/>
      <c r="AM13" s="15"/>
      <c r="AN13" s="15"/>
      <c r="AO13" s="15"/>
      <c r="AP13" s="15"/>
      <c r="AQ13" s="15"/>
    </row>
    <row r="14" spans="1:43" x14ac:dyDescent="0.3"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5"/>
      <c r="AL14" s="15"/>
      <c r="AM14" s="15"/>
      <c r="AN14" s="15"/>
      <c r="AO14" s="15"/>
      <c r="AP14" s="15"/>
      <c r="AQ14" s="15"/>
    </row>
    <row r="15" spans="1:43" x14ac:dyDescent="0.3"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5"/>
      <c r="AL15" s="15"/>
      <c r="AM15" s="15"/>
      <c r="AN15" s="15"/>
      <c r="AO15" s="15"/>
      <c r="AP15" s="15"/>
      <c r="AQ15" s="15"/>
    </row>
    <row r="16" spans="1:43" x14ac:dyDescent="0.3"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5"/>
      <c r="AL16" s="15"/>
      <c r="AM16" s="15"/>
      <c r="AN16" s="15"/>
      <c r="AO16" s="15"/>
      <c r="AP16" s="15"/>
      <c r="AQ16" s="15"/>
    </row>
    <row r="17" spans="23:43" x14ac:dyDescent="0.3"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5"/>
      <c r="AL17" s="15"/>
      <c r="AM17" s="15"/>
      <c r="AN17" s="15"/>
      <c r="AO17" s="15"/>
      <c r="AP17" s="15"/>
      <c r="AQ17" s="15"/>
    </row>
    <row r="18" spans="23:43" x14ac:dyDescent="0.3"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5"/>
      <c r="AL18" s="15"/>
      <c r="AM18" s="15"/>
      <c r="AN18" s="15"/>
      <c r="AO18" s="15"/>
      <c r="AP18" s="15"/>
      <c r="AQ18" s="15"/>
    </row>
    <row r="19" spans="23:43" x14ac:dyDescent="0.3"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5"/>
      <c r="AL19" s="15"/>
      <c r="AM19" s="15"/>
      <c r="AN19" s="15"/>
      <c r="AO19" s="15"/>
      <c r="AP19" s="15"/>
      <c r="AQ19" s="15"/>
    </row>
    <row r="20" spans="23:43" x14ac:dyDescent="0.3"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5"/>
      <c r="AL20" s="15"/>
      <c r="AM20" s="15"/>
      <c r="AN20" s="15"/>
      <c r="AO20" s="15"/>
      <c r="AP20" s="15"/>
      <c r="AQ20" s="15"/>
    </row>
    <row r="21" spans="23:43" x14ac:dyDescent="0.3"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5"/>
      <c r="AL21" s="15"/>
      <c r="AM21" s="15"/>
      <c r="AN21" s="15"/>
      <c r="AO21" s="15"/>
      <c r="AP21" s="15"/>
      <c r="AQ21" s="15"/>
    </row>
    <row r="22" spans="23:43" x14ac:dyDescent="0.3"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5"/>
      <c r="AL22" s="15"/>
      <c r="AM22" s="15"/>
      <c r="AN22" s="15"/>
      <c r="AO22" s="15"/>
      <c r="AP22" s="15"/>
      <c r="AQ22" s="15"/>
    </row>
    <row r="23" spans="23:43" x14ac:dyDescent="0.3"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5"/>
      <c r="AL23" s="15"/>
      <c r="AM23" s="15"/>
      <c r="AN23" s="15"/>
      <c r="AO23" s="15"/>
      <c r="AP23" s="15"/>
      <c r="AQ23" s="15"/>
    </row>
    <row r="24" spans="23:43" x14ac:dyDescent="0.3"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5"/>
      <c r="AL24" s="15"/>
      <c r="AM24" s="15"/>
      <c r="AN24" s="15"/>
      <c r="AO24" s="15"/>
      <c r="AP24" s="15"/>
      <c r="AQ24" s="15"/>
    </row>
    <row r="25" spans="23:43" x14ac:dyDescent="0.3"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5"/>
      <c r="AL25" s="15"/>
      <c r="AM25" s="15"/>
      <c r="AN25" s="15"/>
      <c r="AO25" s="15"/>
      <c r="AP25" s="15"/>
      <c r="AQ25" s="15"/>
    </row>
    <row r="26" spans="23:43" x14ac:dyDescent="0.3"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5"/>
      <c r="AL26" s="15"/>
      <c r="AM26" s="15"/>
      <c r="AN26" s="15"/>
      <c r="AO26" s="15"/>
      <c r="AP26" s="15"/>
      <c r="AQ26" s="15"/>
    </row>
    <row r="27" spans="23:43" x14ac:dyDescent="0.3"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5"/>
      <c r="AL27" s="15"/>
      <c r="AM27" s="15"/>
      <c r="AN27" s="15"/>
      <c r="AO27" s="15"/>
      <c r="AP27" s="15"/>
      <c r="AQ27" s="15"/>
    </row>
    <row r="28" spans="23:43" x14ac:dyDescent="0.3"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5"/>
      <c r="AL28" s="15"/>
      <c r="AM28" s="15"/>
      <c r="AN28" s="15"/>
      <c r="AO28" s="15"/>
      <c r="AP28" s="15"/>
      <c r="AQ28" s="15"/>
    </row>
    <row r="29" spans="23:43" x14ac:dyDescent="0.3"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5"/>
      <c r="AL29" s="15"/>
      <c r="AM29" s="15"/>
      <c r="AN29" s="15"/>
      <c r="AO29" s="15"/>
      <c r="AP29" s="15"/>
      <c r="AQ29" s="15"/>
    </row>
    <row r="30" spans="23:43" x14ac:dyDescent="0.3"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5"/>
      <c r="AL30" s="15"/>
      <c r="AM30" s="15"/>
      <c r="AN30" s="15"/>
      <c r="AO30" s="15"/>
      <c r="AP30" s="15"/>
      <c r="AQ30" s="15"/>
    </row>
    <row r="31" spans="23:43" x14ac:dyDescent="0.3"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5"/>
      <c r="AL31" s="15"/>
      <c r="AM31" s="15"/>
      <c r="AN31" s="15"/>
      <c r="AO31" s="15"/>
      <c r="AP31" s="15"/>
      <c r="AQ31" s="15"/>
    </row>
    <row r="32" spans="23:43" x14ac:dyDescent="0.3"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5"/>
      <c r="AL32" s="15"/>
      <c r="AM32" s="15"/>
      <c r="AN32" s="15"/>
      <c r="AO32" s="15"/>
      <c r="AP32" s="15"/>
      <c r="AQ32" s="15"/>
    </row>
    <row r="33" spans="23:43" x14ac:dyDescent="0.3"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5"/>
      <c r="AL33" s="15"/>
      <c r="AM33" s="15"/>
      <c r="AN33" s="15"/>
      <c r="AO33" s="15"/>
      <c r="AP33" s="15"/>
      <c r="AQ33" s="15"/>
    </row>
    <row r="34" spans="23:43" x14ac:dyDescent="0.3"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5"/>
      <c r="AL34" s="15"/>
      <c r="AM34" s="15"/>
      <c r="AN34" s="15"/>
      <c r="AO34" s="15"/>
      <c r="AP34" s="15"/>
      <c r="AQ34" s="15"/>
    </row>
    <row r="35" spans="23:43" x14ac:dyDescent="0.3"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5"/>
      <c r="AL35" s="15"/>
      <c r="AM35" s="15"/>
      <c r="AN35" s="15"/>
      <c r="AO35" s="15"/>
      <c r="AP35" s="15"/>
      <c r="AQ35" s="15"/>
    </row>
    <row r="36" spans="23:43" x14ac:dyDescent="0.3"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5"/>
      <c r="AL36" s="15"/>
      <c r="AM36" s="15"/>
      <c r="AN36" s="15"/>
      <c r="AO36" s="15"/>
      <c r="AP36" s="15"/>
      <c r="AQ36" s="15"/>
    </row>
    <row r="37" spans="23:43" x14ac:dyDescent="0.3"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5"/>
      <c r="AL37" s="15"/>
      <c r="AM37" s="15"/>
      <c r="AN37" s="15"/>
      <c r="AO37" s="15"/>
      <c r="AP37" s="15"/>
      <c r="AQ37" s="15"/>
    </row>
    <row r="38" spans="23:43" x14ac:dyDescent="0.3"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5"/>
      <c r="AL38" s="15"/>
      <c r="AM38" s="15"/>
      <c r="AN38" s="15"/>
      <c r="AO38" s="15"/>
      <c r="AP38" s="15"/>
      <c r="AQ38" s="15"/>
    </row>
    <row r="39" spans="23:43" x14ac:dyDescent="0.3"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5"/>
      <c r="AL39" s="15"/>
      <c r="AM39" s="15"/>
      <c r="AN39" s="15"/>
      <c r="AO39" s="15"/>
      <c r="AP39" s="15"/>
      <c r="AQ39" s="15"/>
    </row>
    <row r="40" spans="23:43" x14ac:dyDescent="0.3"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5"/>
      <c r="AL40" s="15"/>
      <c r="AM40" s="15"/>
      <c r="AN40" s="15"/>
      <c r="AO40" s="15"/>
      <c r="AP40" s="15"/>
      <c r="AQ40" s="15"/>
    </row>
    <row r="41" spans="23:43" x14ac:dyDescent="0.3"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5"/>
      <c r="AL41" s="15"/>
      <c r="AM41" s="15"/>
      <c r="AN41" s="15"/>
      <c r="AO41" s="15"/>
      <c r="AP41" s="15"/>
      <c r="AQ41" s="15"/>
    </row>
    <row r="42" spans="23:43" x14ac:dyDescent="0.3"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5"/>
      <c r="AL42" s="15"/>
      <c r="AM42" s="15"/>
      <c r="AN42" s="15"/>
      <c r="AO42" s="15"/>
      <c r="AP42" s="15"/>
      <c r="AQ42" s="15"/>
    </row>
    <row r="43" spans="23:43" x14ac:dyDescent="0.3"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5"/>
      <c r="AL43" s="15"/>
      <c r="AM43" s="15"/>
      <c r="AN43" s="15"/>
      <c r="AO43" s="15"/>
      <c r="AP43" s="15"/>
      <c r="AQ43" s="15"/>
    </row>
    <row r="44" spans="23:43" x14ac:dyDescent="0.3"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5"/>
      <c r="AL44" s="15"/>
      <c r="AM44" s="15"/>
      <c r="AN44" s="15"/>
      <c r="AO44" s="15"/>
      <c r="AP44" s="15"/>
      <c r="AQ44" s="15"/>
    </row>
    <row r="45" spans="23:43" x14ac:dyDescent="0.3"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5"/>
      <c r="AL45" s="15"/>
      <c r="AM45" s="15"/>
      <c r="AN45" s="15"/>
      <c r="AO45" s="15"/>
      <c r="AP45" s="15"/>
      <c r="AQ45" s="15"/>
    </row>
    <row r="46" spans="23:43" x14ac:dyDescent="0.3"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5"/>
      <c r="AL46" s="15"/>
      <c r="AM46" s="15"/>
      <c r="AN46" s="15"/>
      <c r="AO46" s="15"/>
      <c r="AP46" s="15"/>
      <c r="AQ46" s="15"/>
    </row>
    <row r="47" spans="23:43" x14ac:dyDescent="0.3"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5"/>
      <c r="AL47" s="15"/>
      <c r="AM47" s="15"/>
      <c r="AN47" s="15"/>
      <c r="AO47" s="15"/>
      <c r="AP47" s="15"/>
      <c r="AQ47" s="15"/>
    </row>
    <row r="48" spans="23:43" x14ac:dyDescent="0.3"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5"/>
      <c r="AL48" s="15"/>
      <c r="AM48" s="15"/>
      <c r="AN48" s="15"/>
      <c r="AO48" s="15"/>
      <c r="AP48" s="15"/>
      <c r="AQ48" s="15"/>
    </row>
    <row r="49" spans="23:43" x14ac:dyDescent="0.3"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5"/>
      <c r="AL49" s="15"/>
      <c r="AM49" s="15"/>
      <c r="AN49" s="15"/>
      <c r="AO49" s="15"/>
      <c r="AP49" s="15"/>
      <c r="AQ49" s="15"/>
    </row>
    <row r="50" spans="23:43" x14ac:dyDescent="0.3"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5"/>
      <c r="AL50" s="15"/>
      <c r="AM50" s="15"/>
      <c r="AN50" s="15"/>
      <c r="AO50" s="15"/>
      <c r="AP50" s="15"/>
      <c r="AQ50" s="15"/>
    </row>
    <row r="51" spans="23:43" x14ac:dyDescent="0.3"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5"/>
      <c r="AL51" s="15"/>
      <c r="AM51" s="15"/>
      <c r="AN51" s="15"/>
      <c r="AO51" s="15"/>
      <c r="AP51" s="15"/>
      <c r="AQ51" s="15"/>
    </row>
    <row r="52" spans="23:43" x14ac:dyDescent="0.3"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5"/>
      <c r="AL52" s="15"/>
      <c r="AM52" s="15"/>
      <c r="AN52" s="15"/>
      <c r="AO52" s="15"/>
      <c r="AP52" s="15"/>
      <c r="AQ52" s="15"/>
    </row>
    <row r="53" spans="23:43" x14ac:dyDescent="0.3"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5"/>
      <c r="AL53" s="15"/>
      <c r="AM53" s="15"/>
      <c r="AN53" s="15"/>
      <c r="AO53" s="15"/>
      <c r="AP53" s="15"/>
      <c r="AQ53" s="15"/>
    </row>
    <row r="54" spans="23:43" x14ac:dyDescent="0.3"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5"/>
      <c r="AL54" s="15"/>
      <c r="AM54" s="15"/>
      <c r="AN54" s="15"/>
      <c r="AO54" s="15"/>
      <c r="AP54" s="15"/>
      <c r="AQ54" s="15"/>
    </row>
    <row r="55" spans="23:43" x14ac:dyDescent="0.3"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5"/>
      <c r="AL55" s="15"/>
      <c r="AM55" s="15"/>
      <c r="AN55" s="15"/>
      <c r="AO55" s="15"/>
      <c r="AP55" s="15"/>
      <c r="AQ55" s="15"/>
    </row>
    <row r="56" spans="23:43" x14ac:dyDescent="0.3"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5"/>
      <c r="AL56" s="15"/>
      <c r="AM56" s="15"/>
      <c r="AN56" s="15"/>
      <c r="AO56" s="15"/>
      <c r="AP56" s="15"/>
      <c r="AQ56" s="15"/>
    </row>
    <row r="57" spans="23:43" x14ac:dyDescent="0.3"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5"/>
      <c r="AL57" s="15"/>
      <c r="AM57" s="15"/>
      <c r="AN57" s="15"/>
      <c r="AO57" s="15"/>
      <c r="AP57" s="15"/>
      <c r="AQ57" s="15"/>
    </row>
    <row r="58" spans="23:43" x14ac:dyDescent="0.3"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5"/>
      <c r="AL58" s="15"/>
      <c r="AM58" s="15"/>
      <c r="AN58" s="15"/>
      <c r="AO58" s="15"/>
      <c r="AP58" s="15"/>
      <c r="AQ58" s="15"/>
    </row>
    <row r="59" spans="23:43" x14ac:dyDescent="0.3"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5"/>
      <c r="AL59" s="15"/>
      <c r="AM59" s="15"/>
      <c r="AN59" s="15"/>
      <c r="AO59" s="15"/>
      <c r="AP59" s="15"/>
      <c r="AQ59" s="15"/>
    </row>
    <row r="60" spans="23:43" x14ac:dyDescent="0.3"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5"/>
      <c r="AL60" s="15"/>
      <c r="AM60" s="15"/>
      <c r="AN60" s="15"/>
      <c r="AO60" s="15"/>
      <c r="AP60" s="15"/>
      <c r="AQ60" s="15"/>
    </row>
    <row r="61" spans="23:43" x14ac:dyDescent="0.3"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5"/>
      <c r="AL61" s="15"/>
      <c r="AM61" s="15"/>
      <c r="AN61" s="15"/>
      <c r="AO61" s="15"/>
      <c r="AP61" s="15"/>
      <c r="AQ61" s="15"/>
    </row>
    <row r="62" spans="23:43" x14ac:dyDescent="0.3"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5"/>
      <c r="AL62" s="15"/>
      <c r="AM62" s="15"/>
      <c r="AN62" s="15"/>
      <c r="AO62" s="15"/>
      <c r="AP62" s="15"/>
      <c r="AQ62" s="15"/>
    </row>
    <row r="63" spans="23:43" x14ac:dyDescent="0.3"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5"/>
      <c r="AL63" s="15"/>
      <c r="AM63" s="15"/>
      <c r="AN63" s="15"/>
      <c r="AO63" s="15"/>
      <c r="AP63" s="15"/>
      <c r="AQ63" s="15"/>
    </row>
    <row r="64" spans="23:43" x14ac:dyDescent="0.3"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5"/>
      <c r="AL64" s="15"/>
      <c r="AM64" s="15"/>
      <c r="AN64" s="15"/>
      <c r="AO64" s="15"/>
      <c r="AP64" s="15"/>
      <c r="AQ64" s="15"/>
    </row>
    <row r="65" spans="23:43" x14ac:dyDescent="0.3"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5"/>
      <c r="AL65" s="15"/>
      <c r="AM65" s="15"/>
      <c r="AN65" s="15"/>
      <c r="AO65" s="15"/>
      <c r="AP65" s="15"/>
      <c r="AQ65" s="15"/>
    </row>
    <row r="66" spans="23:43" x14ac:dyDescent="0.3"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5"/>
      <c r="AL66" s="15"/>
      <c r="AM66" s="15"/>
      <c r="AN66" s="15"/>
      <c r="AO66" s="15"/>
      <c r="AP66" s="15"/>
      <c r="AQ66" s="15"/>
    </row>
    <row r="67" spans="23:43" x14ac:dyDescent="0.3"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5"/>
      <c r="AL67" s="15"/>
      <c r="AM67" s="15"/>
      <c r="AN67" s="15"/>
      <c r="AO67" s="15"/>
      <c r="AP67" s="15"/>
      <c r="AQ67" s="15"/>
    </row>
    <row r="68" spans="23:43" x14ac:dyDescent="0.3"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5"/>
      <c r="AL68" s="15"/>
      <c r="AM68" s="15"/>
      <c r="AN68" s="15"/>
      <c r="AO68" s="15"/>
      <c r="AP68" s="15"/>
      <c r="AQ68" s="15"/>
    </row>
    <row r="69" spans="23:43" x14ac:dyDescent="0.3"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5"/>
      <c r="AL69" s="15"/>
      <c r="AM69" s="15"/>
      <c r="AN69" s="15"/>
      <c r="AO69" s="15"/>
      <c r="AP69" s="15"/>
      <c r="AQ69" s="15"/>
    </row>
    <row r="70" spans="23:43" x14ac:dyDescent="0.3"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5"/>
      <c r="AL70" s="15"/>
      <c r="AM70" s="15"/>
      <c r="AN70" s="15"/>
      <c r="AO70" s="15"/>
      <c r="AP70" s="15"/>
      <c r="AQ70" s="15"/>
    </row>
    <row r="71" spans="23:43" x14ac:dyDescent="0.3"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5"/>
      <c r="AL71" s="15"/>
      <c r="AM71" s="15"/>
      <c r="AN71" s="15"/>
      <c r="AO71" s="15"/>
      <c r="AP71" s="15"/>
      <c r="AQ71" s="15"/>
    </row>
    <row r="72" spans="23:43" x14ac:dyDescent="0.3"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5"/>
      <c r="AL72" s="15"/>
      <c r="AM72" s="15"/>
      <c r="AN72" s="15"/>
      <c r="AO72" s="15"/>
      <c r="AP72" s="15"/>
      <c r="AQ72" s="15"/>
    </row>
    <row r="73" spans="23:43" x14ac:dyDescent="0.3"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5"/>
      <c r="AL73" s="15"/>
      <c r="AM73" s="15"/>
      <c r="AN73" s="15"/>
      <c r="AO73" s="15"/>
      <c r="AP73" s="15"/>
      <c r="AQ73" s="15"/>
    </row>
    <row r="74" spans="23:43" x14ac:dyDescent="0.3"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5"/>
      <c r="AL74" s="15"/>
      <c r="AM74" s="15"/>
      <c r="AN74" s="15"/>
      <c r="AO74" s="15"/>
      <c r="AP74" s="15"/>
      <c r="AQ74" s="15"/>
    </row>
    <row r="75" spans="23:43" x14ac:dyDescent="0.3"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5"/>
      <c r="AL75" s="15"/>
      <c r="AM75" s="15"/>
      <c r="AN75" s="15"/>
      <c r="AO75" s="15"/>
      <c r="AP75" s="15"/>
      <c r="AQ75" s="15"/>
    </row>
    <row r="76" spans="23:43" x14ac:dyDescent="0.3"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5"/>
      <c r="AL76" s="15"/>
      <c r="AM76" s="15"/>
      <c r="AN76" s="15"/>
      <c r="AO76" s="15"/>
      <c r="AP76" s="15"/>
      <c r="AQ76" s="15"/>
    </row>
    <row r="77" spans="23:43" x14ac:dyDescent="0.3"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5"/>
      <c r="AL77" s="15"/>
      <c r="AM77" s="15"/>
      <c r="AN77" s="15"/>
      <c r="AO77" s="15"/>
      <c r="AP77" s="15"/>
      <c r="AQ77" s="15"/>
    </row>
    <row r="78" spans="23:43" x14ac:dyDescent="0.3"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5"/>
      <c r="AL78" s="15"/>
      <c r="AM78" s="15"/>
      <c r="AN78" s="15"/>
      <c r="AO78" s="15"/>
      <c r="AP78" s="15"/>
      <c r="AQ78" s="15"/>
    </row>
    <row r="79" spans="23:43" x14ac:dyDescent="0.3"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5"/>
      <c r="AL79" s="15"/>
      <c r="AM79" s="15"/>
      <c r="AN79" s="15"/>
      <c r="AO79" s="15"/>
      <c r="AP79" s="15"/>
      <c r="AQ79" s="15"/>
    </row>
    <row r="80" spans="23:43" x14ac:dyDescent="0.3"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5"/>
      <c r="AL80" s="15"/>
      <c r="AM80" s="15"/>
      <c r="AN80" s="15"/>
      <c r="AO80" s="15"/>
      <c r="AP80" s="15"/>
      <c r="AQ80" s="15"/>
    </row>
    <row r="81" spans="23:43" x14ac:dyDescent="0.3"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5"/>
      <c r="AL81" s="15"/>
      <c r="AM81" s="15"/>
      <c r="AN81" s="15"/>
      <c r="AO81" s="15"/>
      <c r="AP81" s="15"/>
      <c r="AQ81" s="15"/>
    </row>
    <row r="82" spans="23:43" x14ac:dyDescent="0.3"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5"/>
      <c r="AL82" s="15"/>
      <c r="AM82" s="15"/>
      <c r="AN82" s="15"/>
      <c r="AO82" s="15"/>
      <c r="AP82" s="15"/>
      <c r="AQ82" s="15"/>
    </row>
    <row r="83" spans="23:43" x14ac:dyDescent="0.3"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5"/>
      <c r="AL83" s="15"/>
      <c r="AM83" s="15"/>
      <c r="AN83" s="15"/>
      <c r="AO83" s="15"/>
      <c r="AP83" s="15"/>
      <c r="AQ83" s="15"/>
    </row>
    <row r="84" spans="23:43" x14ac:dyDescent="0.3"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5"/>
      <c r="AL84" s="15"/>
      <c r="AM84" s="15"/>
      <c r="AN84" s="15"/>
      <c r="AO84" s="15"/>
      <c r="AP84" s="15"/>
      <c r="AQ84" s="15"/>
    </row>
    <row r="85" spans="23:43" x14ac:dyDescent="0.3"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5"/>
      <c r="AL85" s="15"/>
      <c r="AM85" s="15"/>
      <c r="AN85" s="15"/>
      <c r="AO85" s="15"/>
      <c r="AP85" s="15"/>
      <c r="AQ85" s="15"/>
    </row>
    <row r="86" spans="23:43" x14ac:dyDescent="0.3"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5"/>
      <c r="AL86" s="15"/>
      <c r="AM86" s="15"/>
      <c r="AN86" s="15"/>
      <c r="AO86" s="15"/>
      <c r="AP86" s="15"/>
      <c r="AQ86" s="15"/>
    </row>
    <row r="87" spans="23:43" x14ac:dyDescent="0.3"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5"/>
      <c r="AL87" s="15"/>
      <c r="AM87" s="15"/>
      <c r="AN87" s="15"/>
      <c r="AO87" s="15"/>
      <c r="AP87" s="15"/>
      <c r="AQ87" s="15"/>
    </row>
    <row r="88" spans="23:43" x14ac:dyDescent="0.3"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5"/>
      <c r="AL88" s="15"/>
      <c r="AM88" s="15"/>
      <c r="AN88" s="15"/>
      <c r="AO88" s="15"/>
      <c r="AP88" s="15"/>
      <c r="AQ88" s="15"/>
    </row>
    <row r="89" spans="23:43" x14ac:dyDescent="0.3"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5"/>
      <c r="AL89" s="15"/>
      <c r="AM89" s="15"/>
      <c r="AN89" s="15"/>
      <c r="AO89" s="15"/>
      <c r="AP89" s="15"/>
      <c r="AQ89" s="15"/>
    </row>
    <row r="90" spans="23:43" x14ac:dyDescent="0.3"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5"/>
      <c r="AL90" s="15"/>
      <c r="AM90" s="15"/>
      <c r="AN90" s="15"/>
      <c r="AO90" s="15"/>
      <c r="AP90" s="15"/>
      <c r="AQ90" s="15"/>
    </row>
    <row r="91" spans="23:43" x14ac:dyDescent="0.3"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5"/>
      <c r="AL91" s="15"/>
      <c r="AM91" s="15"/>
      <c r="AN91" s="15"/>
      <c r="AO91" s="15"/>
      <c r="AP91" s="15"/>
      <c r="AQ91" s="15"/>
    </row>
    <row r="92" spans="23:43" x14ac:dyDescent="0.3"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5"/>
      <c r="AL92" s="15"/>
      <c r="AM92" s="15"/>
      <c r="AN92" s="15"/>
      <c r="AO92" s="15"/>
      <c r="AP92" s="15"/>
      <c r="AQ92" s="15"/>
    </row>
    <row r="93" spans="23:43" x14ac:dyDescent="0.3"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5"/>
      <c r="AL93" s="15"/>
      <c r="AM93" s="15"/>
      <c r="AN93" s="15"/>
      <c r="AO93" s="15"/>
      <c r="AP93" s="15"/>
      <c r="AQ93" s="15"/>
    </row>
    <row r="94" spans="23:43" x14ac:dyDescent="0.3"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5"/>
      <c r="AL94" s="15"/>
      <c r="AM94" s="15"/>
      <c r="AN94" s="15"/>
      <c r="AO94" s="15"/>
      <c r="AP94" s="15"/>
      <c r="AQ94" s="15"/>
    </row>
    <row r="95" spans="23:43" x14ac:dyDescent="0.3"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5"/>
      <c r="AL95" s="15"/>
      <c r="AM95" s="15"/>
      <c r="AN95" s="15"/>
      <c r="AO95" s="15"/>
      <c r="AP95" s="15"/>
      <c r="AQ95" s="15"/>
    </row>
    <row r="96" spans="23:43" x14ac:dyDescent="0.3"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5"/>
      <c r="AL96" s="15"/>
      <c r="AM96" s="15"/>
      <c r="AN96" s="15"/>
      <c r="AO96" s="15"/>
      <c r="AP96" s="15"/>
      <c r="AQ96" s="15"/>
    </row>
    <row r="97" spans="23:43" x14ac:dyDescent="0.3"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5"/>
      <c r="AL97" s="15"/>
      <c r="AM97" s="15"/>
      <c r="AN97" s="15"/>
      <c r="AO97" s="15"/>
      <c r="AP97" s="15"/>
      <c r="AQ97" s="15"/>
    </row>
    <row r="98" spans="23:43" x14ac:dyDescent="0.3"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5"/>
      <c r="AL98" s="15"/>
      <c r="AM98" s="15"/>
      <c r="AN98" s="15"/>
      <c r="AO98" s="15"/>
      <c r="AP98" s="15"/>
      <c r="AQ98" s="15"/>
    </row>
    <row r="99" spans="23:43" x14ac:dyDescent="0.3"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5"/>
      <c r="AL99" s="15"/>
      <c r="AM99" s="15"/>
      <c r="AN99" s="15"/>
      <c r="AO99" s="15"/>
      <c r="AP99" s="15"/>
      <c r="AQ99" s="15"/>
    </row>
    <row r="100" spans="23:43" x14ac:dyDescent="0.3"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5"/>
      <c r="AL100" s="15"/>
      <c r="AM100" s="15"/>
      <c r="AN100" s="15"/>
      <c r="AO100" s="15"/>
      <c r="AP100" s="15"/>
      <c r="AQ100" s="15"/>
    </row>
    <row r="101" spans="23:43" x14ac:dyDescent="0.3"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5"/>
      <c r="AL101" s="15"/>
      <c r="AM101" s="15"/>
      <c r="AN101" s="15"/>
      <c r="AO101" s="15"/>
      <c r="AP101" s="15"/>
      <c r="AQ101" s="15"/>
    </row>
    <row r="102" spans="23:43" x14ac:dyDescent="0.3"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5"/>
      <c r="AL102" s="15"/>
      <c r="AM102" s="15"/>
      <c r="AN102" s="15"/>
      <c r="AO102" s="15"/>
      <c r="AP102" s="15"/>
      <c r="AQ102" s="15"/>
    </row>
    <row r="103" spans="23:43" x14ac:dyDescent="0.3"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5"/>
      <c r="AL103" s="15"/>
      <c r="AM103" s="15"/>
      <c r="AN103" s="15"/>
      <c r="AO103" s="15"/>
      <c r="AP103" s="15"/>
      <c r="AQ103" s="15"/>
    </row>
    <row r="104" spans="23:43" x14ac:dyDescent="0.3"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5"/>
      <c r="AL104" s="15"/>
      <c r="AM104" s="15"/>
      <c r="AN104" s="15"/>
      <c r="AO104" s="15"/>
      <c r="AP104" s="15"/>
      <c r="AQ104" s="15"/>
    </row>
    <row r="105" spans="23:43" x14ac:dyDescent="0.3"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5"/>
      <c r="AL105" s="15"/>
      <c r="AM105" s="15"/>
      <c r="AN105" s="15"/>
      <c r="AO105" s="15"/>
      <c r="AP105" s="15"/>
      <c r="AQ105" s="15"/>
    </row>
    <row r="106" spans="23:43" x14ac:dyDescent="0.3"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5"/>
      <c r="AL106" s="15"/>
      <c r="AM106" s="15"/>
      <c r="AN106" s="15"/>
      <c r="AO106" s="15"/>
      <c r="AP106" s="15"/>
      <c r="AQ106" s="15"/>
    </row>
    <row r="107" spans="23:43" x14ac:dyDescent="0.3"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5"/>
      <c r="AL107" s="15"/>
      <c r="AM107" s="15"/>
      <c r="AN107" s="15"/>
      <c r="AO107" s="15"/>
      <c r="AP107" s="15"/>
      <c r="AQ107" s="15"/>
    </row>
    <row r="108" spans="23:43" x14ac:dyDescent="0.3"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5"/>
      <c r="AL108" s="15"/>
      <c r="AM108" s="15"/>
      <c r="AN108" s="15"/>
      <c r="AO108" s="15"/>
      <c r="AP108" s="15"/>
      <c r="AQ108" s="15"/>
    </row>
    <row r="109" spans="23:43" x14ac:dyDescent="0.3"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5"/>
      <c r="AL109" s="15"/>
      <c r="AM109" s="15"/>
      <c r="AN109" s="15"/>
      <c r="AO109" s="15"/>
      <c r="AP109" s="15"/>
      <c r="AQ109" s="15"/>
    </row>
    <row r="110" spans="23:43" x14ac:dyDescent="0.3"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5"/>
      <c r="AL110" s="15"/>
      <c r="AM110" s="15"/>
      <c r="AN110" s="15"/>
      <c r="AO110" s="15"/>
      <c r="AP110" s="15"/>
      <c r="AQ110" s="15"/>
    </row>
    <row r="111" spans="23:43" x14ac:dyDescent="0.3"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5"/>
      <c r="AL111" s="15"/>
      <c r="AM111" s="15"/>
      <c r="AN111" s="15"/>
      <c r="AO111" s="15"/>
      <c r="AP111" s="15"/>
      <c r="AQ111" s="15"/>
    </row>
    <row r="112" spans="23:43" x14ac:dyDescent="0.3"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5"/>
      <c r="AL112" s="15"/>
      <c r="AM112" s="15"/>
      <c r="AN112" s="15"/>
      <c r="AO112" s="15"/>
      <c r="AP112" s="15"/>
      <c r="AQ112" s="15"/>
    </row>
    <row r="113" spans="23:43" x14ac:dyDescent="0.3"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5"/>
      <c r="AL113" s="15"/>
      <c r="AM113" s="15"/>
      <c r="AN113" s="15"/>
      <c r="AO113" s="15"/>
      <c r="AP113" s="15"/>
      <c r="AQ113" s="15"/>
    </row>
    <row r="114" spans="23:43" x14ac:dyDescent="0.3"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5"/>
      <c r="AL114" s="15"/>
      <c r="AM114" s="15"/>
      <c r="AN114" s="15"/>
      <c r="AO114" s="15"/>
      <c r="AP114" s="15"/>
      <c r="AQ114" s="15"/>
    </row>
    <row r="115" spans="23:43" x14ac:dyDescent="0.3"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5"/>
      <c r="AL115" s="15"/>
      <c r="AM115" s="15"/>
      <c r="AN115" s="15"/>
      <c r="AO115" s="15"/>
      <c r="AP115" s="15"/>
      <c r="AQ115" s="15"/>
    </row>
    <row r="116" spans="23:43" x14ac:dyDescent="0.3"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5"/>
      <c r="AL116" s="15"/>
      <c r="AM116" s="15"/>
      <c r="AN116" s="15"/>
      <c r="AO116" s="15"/>
      <c r="AP116" s="15"/>
      <c r="AQ116" s="15"/>
    </row>
    <row r="117" spans="23:43" x14ac:dyDescent="0.3"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5"/>
      <c r="AL117" s="15"/>
      <c r="AM117" s="15"/>
      <c r="AN117" s="15"/>
      <c r="AO117" s="15"/>
      <c r="AP117" s="15"/>
      <c r="AQ117" s="15"/>
    </row>
    <row r="118" spans="23:43" x14ac:dyDescent="0.3"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5"/>
      <c r="AL118" s="15"/>
      <c r="AM118" s="15"/>
      <c r="AN118" s="15"/>
      <c r="AO118" s="15"/>
      <c r="AP118" s="15"/>
      <c r="AQ118" s="15"/>
    </row>
    <row r="119" spans="23:43" x14ac:dyDescent="0.3"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5"/>
      <c r="AL119" s="15"/>
      <c r="AM119" s="15"/>
      <c r="AN119" s="15"/>
      <c r="AO119" s="15"/>
      <c r="AP119" s="15"/>
      <c r="AQ119" s="15"/>
    </row>
    <row r="120" spans="23:43" x14ac:dyDescent="0.3"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5"/>
      <c r="AL120" s="15"/>
      <c r="AM120" s="15"/>
      <c r="AN120" s="15"/>
      <c r="AO120" s="15"/>
      <c r="AP120" s="15"/>
      <c r="AQ120" s="15"/>
    </row>
    <row r="121" spans="23:43" x14ac:dyDescent="0.3"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5"/>
      <c r="AL121" s="15"/>
      <c r="AM121" s="15"/>
      <c r="AN121" s="15"/>
      <c r="AO121" s="15"/>
      <c r="AP121" s="15"/>
      <c r="AQ121" s="15"/>
    </row>
    <row r="122" spans="23:43" x14ac:dyDescent="0.3"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5"/>
      <c r="AL122" s="15"/>
      <c r="AM122" s="15"/>
      <c r="AN122" s="15"/>
      <c r="AO122" s="15"/>
      <c r="AP122" s="15"/>
      <c r="AQ122" s="15"/>
    </row>
    <row r="123" spans="23:43" x14ac:dyDescent="0.3"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5"/>
      <c r="AL123" s="15"/>
      <c r="AM123" s="15"/>
      <c r="AN123" s="15"/>
      <c r="AO123" s="15"/>
      <c r="AP123" s="15"/>
      <c r="AQ123" s="15"/>
    </row>
    <row r="124" spans="23:43" x14ac:dyDescent="0.3"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5"/>
      <c r="AL124" s="15"/>
      <c r="AM124" s="15"/>
      <c r="AN124" s="15"/>
      <c r="AO124" s="15"/>
      <c r="AP124" s="15"/>
      <c r="AQ124" s="15"/>
    </row>
    <row r="125" spans="23:43" x14ac:dyDescent="0.3"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5"/>
      <c r="AL125" s="15"/>
      <c r="AM125" s="15"/>
      <c r="AN125" s="15"/>
      <c r="AO125" s="15"/>
      <c r="AP125" s="15"/>
      <c r="AQ125" s="15"/>
    </row>
    <row r="126" spans="23:43" x14ac:dyDescent="0.3"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5"/>
      <c r="AL126" s="15"/>
      <c r="AM126" s="15"/>
      <c r="AN126" s="15"/>
      <c r="AO126" s="15"/>
      <c r="AP126" s="15"/>
      <c r="AQ126" s="15"/>
    </row>
    <row r="127" spans="23:43" x14ac:dyDescent="0.3"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5"/>
      <c r="AL127" s="15"/>
      <c r="AM127" s="15"/>
      <c r="AN127" s="15"/>
      <c r="AO127" s="15"/>
      <c r="AP127" s="15"/>
      <c r="AQ127" s="15"/>
    </row>
    <row r="128" spans="23:43" x14ac:dyDescent="0.3"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5"/>
      <c r="AL128" s="15"/>
      <c r="AM128" s="15"/>
      <c r="AN128" s="15"/>
      <c r="AO128" s="15"/>
      <c r="AP128" s="15"/>
      <c r="AQ128" s="15"/>
    </row>
    <row r="129" spans="23:43" x14ac:dyDescent="0.3"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5"/>
      <c r="AL129" s="15"/>
      <c r="AM129" s="15"/>
      <c r="AN129" s="15"/>
      <c r="AO129" s="15"/>
      <c r="AP129" s="15"/>
      <c r="AQ129" s="15"/>
    </row>
    <row r="130" spans="23:43" x14ac:dyDescent="0.3"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5"/>
      <c r="AL130" s="15"/>
      <c r="AM130" s="15"/>
      <c r="AN130" s="15"/>
      <c r="AO130" s="15"/>
      <c r="AP130" s="15"/>
      <c r="AQ130" s="15"/>
    </row>
    <row r="131" spans="23:43" x14ac:dyDescent="0.3"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5"/>
      <c r="AL131" s="15"/>
      <c r="AM131" s="15"/>
      <c r="AN131" s="15"/>
      <c r="AO131" s="15"/>
      <c r="AP131" s="15"/>
      <c r="AQ131" s="15"/>
    </row>
    <row r="132" spans="23:43" x14ac:dyDescent="0.3"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5"/>
      <c r="AL132" s="15"/>
      <c r="AM132" s="15"/>
      <c r="AN132" s="15"/>
      <c r="AO132" s="15"/>
      <c r="AP132" s="15"/>
      <c r="AQ132" s="15"/>
    </row>
    <row r="133" spans="23:43" x14ac:dyDescent="0.3"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5"/>
      <c r="AL133" s="15"/>
      <c r="AM133" s="15"/>
      <c r="AN133" s="15"/>
      <c r="AO133" s="15"/>
      <c r="AP133" s="15"/>
      <c r="AQ133" s="15"/>
    </row>
    <row r="134" spans="23:43" x14ac:dyDescent="0.3"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5"/>
      <c r="AL134" s="15"/>
      <c r="AM134" s="15"/>
      <c r="AN134" s="15"/>
      <c r="AO134" s="15"/>
      <c r="AP134" s="15"/>
      <c r="AQ134" s="15"/>
    </row>
    <row r="135" spans="23:43" x14ac:dyDescent="0.3"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5"/>
      <c r="AL135" s="15"/>
      <c r="AM135" s="15"/>
      <c r="AN135" s="15"/>
      <c r="AO135" s="15"/>
      <c r="AP135" s="15"/>
      <c r="AQ135" s="15"/>
    </row>
    <row r="136" spans="23:43" x14ac:dyDescent="0.3"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5"/>
      <c r="AL136" s="15"/>
      <c r="AM136" s="15"/>
      <c r="AN136" s="15"/>
      <c r="AO136" s="15"/>
      <c r="AP136" s="15"/>
      <c r="AQ136" s="15"/>
    </row>
    <row r="137" spans="23:43" x14ac:dyDescent="0.3"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5"/>
      <c r="AL137" s="15"/>
      <c r="AM137" s="15"/>
      <c r="AN137" s="15"/>
      <c r="AO137" s="15"/>
      <c r="AP137" s="15"/>
      <c r="AQ137" s="15"/>
    </row>
    <row r="138" spans="23:43" x14ac:dyDescent="0.3"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5"/>
      <c r="AL138" s="15"/>
      <c r="AM138" s="15"/>
      <c r="AN138" s="15"/>
      <c r="AO138" s="15"/>
      <c r="AP138" s="15"/>
      <c r="AQ138" s="15"/>
    </row>
    <row r="139" spans="23:43" x14ac:dyDescent="0.3"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5"/>
      <c r="AL139" s="15"/>
      <c r="AM139" s="15"/>
      <c r="AN139" s="15"/>
      <c r="AO139" s="15"/>
      <c r="AP139" s="15"/>
      <c r="AQ139" s="15"/>
    </row>
    <row r="140" spans="23:43" x14ac:dyDescent="0.3"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5"/>
      <c r="AL140" s="15"/>
      <c r="AM140" s="15"/>
      <c r="AN140" s="15"/>
      <c r="AO140" s="15"/>
      <c r="AP140" s="15"/>
      <c r="AQ140" s="15"/>
    </row>
    <row r="141" spans="23:43" x14ac:dyDescent="0.3"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5"/>
      <c r="AL141" s="15"/>
      <c r="AM141" s="15"/>
      <c r="AN141" s="15"/>
      <c r="AO141" s="15"/>
      <c r="AP141" s="15"/>
      <c r="AQ141" s="15"/>
    </row>
    <row r="142" spans="23:43" x14ac:dyDescent="0.3"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5"/>
      <c r="AL142" s="15"/>
      <c r="AM142" s="15"/>
      <c r="AN142" s="15"/>
      <c r="AO142" s="15"/>
      <c r="AP142" s="15"/>
      <c r="AQ142" s="15"/>
    </row>
    <row r="143" spans="23:43" x14ac:dyDescent="0.3"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5"/>
      <c r="AL143" s="15"/>
      <c r="AM143" s="15"/>
      <c r="AN143" s="15"/>
      <c r="AO143" s="15"/>
      <c r="AP143" s="15"/>
      <c r="AQ143" s="15"/>
    </row>
    <row r="144" spans="23:43" x14ac:dyDescent="0.3"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5"/>
      <c r="AL144" s="15"/>
      <c r="AM144" s="15"/>
      <c r="AN144" s="15"/>
      <c r="AO144" s="15"/>
      <c r="AP144" s="15"/>
      <c r="AQ144" s="15"/>
    </row>
    <row r="145" spans="23:43" x14ac:dyDescent="0.3"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5"/>
      <c r="AL145" s="15"/>
      <c r="AM145" s="15"/>
      <c r="AN145" s="15"/>
      <c r="AO145" s="15"/>
      <c r="AP145" s="15"/>
      <c r="AQ145" s="15"/>
    </row>
    <row r="146" spans="23:43" x14ac:dyDescent="0.3"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5"/>
      <c r="AL146" s="15"/>
      <c r="AM146" s="15"/>
      <c r="AN146" s="15"/>
      <c r="AO146" s="15"/>
      <c r="AP146" s="15"/>
      <c r="AQ146" s="15"/>
    </row>
    <row r="147" spans="23:43" x14ac:dyDescent="0.3"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5"/>
      <c r="AL147" s="15"/>
      <c r="AM147" s="15"/>
      <c r="AN147" s="15"/>
      <c r="AO147" s="15"/>
      <c r="AP147" s="15"/>
      <c r="AQ147" s="15"/>
    </row>
    <row r="148" spans="23:43" x14ac:dyDescent="0.3"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5"/>
      <c r="AL148" s="15"/>
      <c r="AM148" s="15"/>
      <c r="AN148" s="15"/>
      <c r="AO148" s="15"/>
      <c r="AP148" s="15"/>
      <c r="AQ148" s="15"/>
    </row>
    <row r="149" spans="23:43" x14ac:dyDescent="0.3"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5"/>
      <c r="AL149" s="15"/>
      <c r="AM149" s="15"/>
      <c r="AN149" s="15"/>
      <c r="AO149" s="15"/>
      <c r="AP149" s="15"/>
      <c r="AQ149" s="15"/>
    </row>
    <row r="150" spans="23:43" x14ac:dyDescent="0.3"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5"/>
      <c r="AL150" s="15"/>
      <c r="AM150" s="15"/>
      <c r="AN150" s="15"/>
      <c r="AO150" s="15"/>
      <c r="AP150" s="15"/>
      <c r="AQ150" s="15"/>
    </row>
    <row r="151" spans="23:43" x14ac:dyDescent="0.3"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5"/>
      <c r="AL151" s="15"/>
      <c r="AM151" s="15"/>
      <c r="AN151" s="15"/>
      <c r="AO151" s="15"/>
      <c r="AP151" s="15"/>
      <c r="AQ151" s="15"/>
    </row>
    <row r="152" spans="23:43" x14ac:dyDescent="0.3"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5"/>
      <c r="AL152" s="15"/>
      <c r="AM152" s="15"/>
      <c r="AN152" s="15"/>
      <c r="AO152" s="15"/>
      <c r="AP152" s="15"/>
      <c r="AQ152" s="15"/>
    </row>
    <row r="153" spans="23:43" x14ac:dyDescent="0.3"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5"/>
      <c r="AL153" s="15"/>
      <c r="AM153" s="15"/>
      <c r="AN153" s="15"/>
      <c r="AO153" s="15"/>
      <c r="AP153" s="15"/>
      <c r="AQ153" s="15"/>
    </row>
    <row r="154" spans="23:43" x14ac:dyDescent="0.3"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5"/>
      <c r="AL154" s="15"/>
      <c r="AM154" s="15"/>
      <c r="AN154" s="15"/>
      <c r="AO154" s="15"/>
      <c r="AP154" s="15"/>
      <c r="AQ154" s="15"/>
    </row>
    <row r="155" spans="23:43" x14ac:dyDescent="0.3"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5"/>
      <c r="AL155" s="15"/>
      <c r="AM155" s="15"/>
      <c r="AN155" s="15"/>
      <c r="AO155" s="15"/>
      <c r="AP155" s="15"/>
      <c r="AQ155" s="15"/>
    </row>
    <row r="156" spans="23:43" x14ac:dyDescent="0.3"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5"/>
      <c r="AL156" s="15"/>
      <c r="AM156" s="15"/>
      <c r="AN156" s="15"/>
      <c r="AO156" s="15"/>
      <c r="AP156" s="15"/>
      <c r="AQ156" s="15"/>
    </row>
    <row r="157" spans="23:43" x14ac:dyDescent="0.3"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5"/>
      <c r="AL157" s="15"/>
      <c r="AM157" s="15"/>
      <c r="AN157" s="15"/>
      <c r="AO157" s="15"/>
      <c r="AP157" s="15"/>
      <c r="AQ157" s="15"/>
    </row>
    <row r="158" spans="23:43" x14ac:dyDescent="0.3"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5"/>
      <c r="AL158" s="15"/>
      <c r="AM158" s="15"/>
      <c r="AN158" s="15"/>
      <c r="AO158" s="15"/>
      <c r="AP158" s="15"/>
      <c r="AQ158" s="15"/>
    </row>
    <row r="159" spans="23:43" x14ac:dyDescent="0.3"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5"/>
      <c r="AL159" s="15"/>
      <c r="AM159" s="15"/>
      <c r="AN159" s="15"/>
      <c r="AO159" s="15"/>
      <c r="AP159" s="15"/>
      <c r="AQ159" s="15"/>
    </row>
    <row r="160" spans="23:43" x14ac:dyDescent="0.3"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5"/>
      <c r="AL160" s="15"/>
      <c r="AM160" s="15"/>
      <c r="AN160" s="15"/>
      <c r="AO160" s="15"/>
      <c r="AP160" s="15"/>
      <c r="AQ160" s="15"/>
    </row>
    <row r="161" spans="23:43" x14ac:dyDescent="0.3"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5"/>
      <c r="AL161" s="15"/>
      <c r="AM161" s="15"/>
      <c r="AN161" s="15"/>
      <c r="AO161" s="15"/>
      <c r="AP161" s="15"/>
      <c r="AQ161" s="15"/>
    </row>
    <row r="162" spans="23:43" x14ac:dyDescent="0.3"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5"/>
      <c r="AL162" s="15"/>
      <c r="AM162" s="15"/>
      <c r="AN162" s="15"/>
      <c r="AO162" s="15"/>
      <c r="AP162" s="15"/>
      <c r="AQ162" s="15"/>
    </row>
    <row r="163" spans="23:43" x14ac:dyDescent="0.3"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5"/>
      <c r="AL163" s="15"/>
      <c r="AM163" s="15"/>
      <c r="AN163" s="15"/>
      <c r="AO163" s="15"/>
      <c r="AP163" s="15"/>
      <c r="AQ163" s="15"/>
    </row>
    <row r="164" spans="23:43" x14ac:dyDescent="0.3"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5"/>
      <c r="AL164" s="15"/>
      <c r="AM164" s="15"/>
      <c r="AN164" s="15"/>
      <c r="AO164" s="15"/>
      <c r="AP164" s="15"/>
      <c r="AQ164" s="15"/>
    </row>
    <row r="165" spans="23:43" x14ac:dyDescent="0.3"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5"/>
      <c r="AL165" s="15"/>
      <c r="AM165" s="15"/>
      <c r="AN165" s="15"/>
      <c r="AO165" s="15"/>
      <c r="AP165" s="15"/>
      <c r="AQ165" s="15"/>
    </row>
    <row r="166" spans="23:43" x14ac:dyDescent="0.3"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5"/>
      <c r="AL166" s="15"/>
      <c r="AM166" s="15"/>
      <c r="AN166" s="15"/>
      <c r="AO166" s="15"/>
      <c r="AP166" s="15"/>
      <c r="AQ166" s="15"/>
    </row>
    <row r="167" spans="23:43" x14ac:dyDescent="0.3"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5"/>
      <c r="AL167" s="15"/>
      <c r="AM167" s="15"/>
      <c r="AN167" s="15"/>
      <c r="AO167" s="15"/>
      <c r="AP167" s="15"/>
      <c r="AQ167" s="15"/>
    </row>
    <row r="168" spans="23:43" x14ac:dyDescent="0.3"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5"/>
      <c r="AL168" s="15"/>
      <c r="AM168" s="15"/>
      <c r="AN168" s="15"/>
      <c r="AO168" s="15"/>
      <c r="AP168" s="15"/>
      <c r="AQ168" s="15"/>
    </row>
    <row r="169" spans="23:43" x14ac:dyDescent="0.3"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5"/>
      <c r="AL169" s="15"/>
      <c r="AM169" s="15"/>
      <c r="AN169" s="15"/>
      <c r="AO169" s="15"/>
      <c r="AP169" s="15"/>
      <c r="AQ169" s="15"/>
    </row>
    <row r="170" spans="23:43" x14ac:dyDescent="0.3"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5"/>
      <c r="AL170" s="15"/>
      <c r="AM170" s="15"/>
      <c r="AN170" s="15"/>
      <c r="AO170" s="15"/>
      <c r="AP170" s="15"/>
      <c r="AQ170" s="15"/>
    </row>
    <row r="171" spans="23:43" x14ac:dyDescent="0.3"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5"/>
      <c r="AL171" s="15"/>
      <c r="AM171" s="15"/>
      <c r="AN171" s="15"/>
      <c r="AO171" s="15"/>
      <c r="AP171" s="15"/>
      <c r="AQ171" s="15"/>
    </row>
    <row r="172" spans="23:43" x14ac:dyDescent="0.3"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5"/>
      <c r="AL172" s="15"/>
      <c r="AM172" s="15"/>
      <c r="AN172" s="15"/>
      <c r="AO172" s="15"/>
      <c r="AP172" s="15"/>
      <c r="AQ172" s="15"/>
    </row>
    <row r="173" spans="23:43" x14ac:dyDescent="0.3"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5"/>
      <c r="AL173" s="15"/>
      <c r="AM173" s="15"/>
      <c r="AN173" s="15"/>
      <c r="AO173" s="15"/>
      <c r="AP173" s="15"/>
      <c r="AQ173" s="15"/>
    </row>
    <row r="174" spans="23:43" x14ac:dyDescent="0.3"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5"/>
      <c r="AL174" s="15"/>
      <c r="AM174" s="15"/>
      <c r="AN174" s="15"/>
      <c r="AO174" s="15"/>
      <c r="AP174" s="15"/>
      <c r="AQ174" s="15"/>
    </row>
    <row r="175" spans="23:43" x14ac:dyDescent="0.3"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5"/>
      <c r="AL175" s="15"/>
      <c r="AM175" s="15"/>
      <c r="AN175" s="15"/>
      <c r="AO175" s="15"/>
      <c r="AP175" s="15"/>
      <c r="AQ175" s="15"/>
    </row>
    <row r="176" spans="23:43" x14ac:dyDescent="0.3"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5"/>
      <c r="AL176" s="15"/>
      <c r="AM176" s="15"/>
      <c r="AN176" s="15"/>
      <c r="AO176" s="15"/>
      <c r="AP176" s="15"/>
      <c r="AQ176" s="15"/>
    </row>
    <row r="177" spans="23:43" x14ac:dyDescent="0.3"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5"/>
      <c r="AL177" s="15"/>
      <c r="AM177" s="15"/>
      <c r="AN177" s="15"/>
      <c r="AO177" s="15"/>
      <c r="AP177" s="15"/>
      <c r="AQ177" s="15"/>
    </row>
    <row r="178" spans="23:43" x14ac:dyDescent="0.3"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5"/>
      <c r="AL178" s="15"/>
      <c r="AM178" s="15"/>
      <c r="AN178" s="15"/>
      <c r="AO178" s="15"/>
      <c r="AP178" s="15"/>
      <c r="AQ178" s="15"/>
    </row>
    <row r="179" spans="23:43" x14ac:dyDescent="0.3"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5"/>
      <c r="AL179" s="15"/>
      <c r="AM179" s="15"/>
      <c r="AN179" s="15"/>
      <c r="AO179" s="15"/>
      <c r="AP179" s="15"/>
      <c r="AQ179" s="15"/>
    </row>
    <row r="180" spans="23:43" x14ac:dyDescent="0.3"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5"/>
      <c r="AL180" s="15"/>
      <c r="AM180" s="15"/>
      <c r="AN180" s="15"/>
      <c r="AO180" s="15"/>
      <c r="AP180" s="15"/>
      <c r="AQ180" s="15"/>
    </row>
    <row r="181" spans="23:43" x14ac:dyDescent="0.3"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5"/>
      <c r="AL181" s="15"/>
      <c r="AM181" s="15"/>
      <c r="AN181" s="15"/>
      <c r="AO181" s="15"/>
      <c r="AP181" s="15"/>
      <c r="AQ181" s="15"/>
    </row>
    <row r="182" spans="23:43" x14ac:dyDescent="0.3"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5"/>
      <c r="AL182" s="15"/>
      <c r="AM182" s="15"/>
      <c r="AN182" s="15"/>
      <c r="AO182" s="15"/>
      <c r="AP182" s="15"/>
      <c r="AQ182" s="15"/>
    </row>
    <row r="183" spans="23:43" x14ac:dyDescent="0.3"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5"/>
      <c r="AL183" s="15"/>
      <c r="AM183" s="15"/>
      <c r="AN183" s="15"/>
      <c r="AO183" s="15"/>
      <c r="AP183" s="15"/>
      <c r="AQ183" s="15"/>
    </row>
    <row r="184" spans="23:43" x14ac:dyDescent="0.3"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5"/>
      <c r="AL184" s="15"/>
      <c r="AM184" s="15"/>
      <c r="AN184" s="15"/>
      <c r="AO184" s="15"/>
      <c r="AP184" s="15"/>
      <c r="AQ184" s="15"/>
    </row>
    <row r="185" spans="23:43" x14ac:dyDescent="0.3"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5"/>
      <c r="AL185" s="15"/>
      <c r="AM185" s="15"/>
      <c r="AN185" s="15"/>
      <c r="AO185" s="15"/>
      <c r="AP185" s="15"/>
      <c r="AQ185" s="15"/>
    </row>
    <row r="186" spans="23:43" x14ac:dyDescent="0.3"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5"/>
      <c r="AL186" s="15"/>
      <c r="AM186" s="15"/>
      <c r="AN186" s="15"/>
      <c r="AO186" s="15"/>
      <c r="AP186" s="15"/>
      <c r="AQ186" s="15"/>
    </row>
    <row r="187" spans="23:43" x14ac:dyDescent="0.3"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5"/>
      <c r="AL187" s="15"/>
      <c r="AM187" s="15"/>
      <c r="AN187" s="15"/>
      <c r="AO187" s="15"/>
      <c r="AP187" s="15"/>
      <c r="AQ187" s="15"/>
    </row>
    <row r="188" spans="23:43" x14ac:dyDescent="0.3"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5"/>
      <c r="AL188" s="15"/>
      <c r="AM188" s="15"/>
      <c r="AN188" s="15"/>
      <c r="AO188" s="15"/>
      <c r="AP188" s="15"/>
      <c r="AQ188" s="15"/>
    </row>
    <row r="189" spans="23:43" x14ac:dyDescent="0.3"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5"/>
      <c r="AL189" s="15"/>
      <c r="AM189" s="15"/>
      <c r="AN189" s="15"/>
      <c r="AO189" s="15"/>
      <c r="AP189" s="15"/>
      <c r="AQ189" s="15"/>
    </row>
    <row r="190" spans="23:43" x14ac:dyDescent="0.3"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5"/>
      <c r="AL190" s="15"/>
      <c r="AM190" s="15"/>
      <c r="AN190" s="15"/>
      <c r="AO190" s="15"/>
      <c r="AP190" s="15"/>
      <c r="AQ190" s="15"/>
    </row>
    <row r="191" spans="23:43" x14ac:dyDescent="0.3"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5"/>
      <c r="AL191" s="15"/>
      <c r="AM191" s="15"/>
      <c r="AN191" s="15"/>
      <c r="AO191" s="15"/>
      <c r="AP191" s="15"/>
      <c r="AQ191" s="15"/>
    </row>
    <row r="192" spans="23:43" x14ac:dyDescent="0.3"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5"/>
      <c r="AL192" s="15"/>
      <c r="AM192" s="15"/>
      <c r="AN192" s="15"/>
      <c r="AO192" s="15"/>
      <c r="AP192" s="15"/>
      <c r="AQ192" s="15"/>
    </row>
    <row r="193" spans="23:43" x14ac:dyDescent="0.3"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5"/>
      <c r="AL193" s="15"/>
      <c r="AM193" s="15"/>
      <c r="AN193" s="15"/>
      <c r="AO193" s="15"/>
      <c r="AP193" s="15"/>
      <c r="AQ193" s="15"/>
    </row>
    <row r="194" spans="23:43" x14ac:dyDescent="0.3"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5"/>
      <c r="AL194" s="15"/>
      <c r="AM194" s="15"/>
      <c r="AN194" s="15"/>
      <c r="AO194" s="15"/>
      <c r="AP194" s="15"/>
      <c r="AQ194" s="15"/>
    </row>
    <row r="195" spans="23:43" x14ac:dyDescent="0.3"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5"/>
      <c r="AL195" s="15"/>
      <c r="AM195" s="15"/>
      <c r="AN195" s="15"/>
      <c r="AO195" s="15"/>
      <c r="AP195" s="15"/>
      <c r="AQ195" s="15"/>
    </row>
    <row r="196" spans="23:43" x14ac:dyDescent="0.3"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5"/>
      <c r="AL196" s="15"/>
      <c r="AM196" s="15"/>
      <c r="AN196" s="15"/>
      <c r="AO196" s="15"/>
      <c r="AP196" s="15"/>
      <c r="AQ196" s="15"/>
    </row>
    <row r="197" spans="23:43" x14ac:dyDescent="0.3"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5"/>
      <c r="AL197" s="15"/>
      <c r="AM197" s="15"/>
      <c r="AN197" s="15"/>
      <c r="AO197" s="15"/>
      <c r="AP197" s="15"/>
      <c r="AQ197" s="15"/>
    </row>
    <row r="198" spans="23:43" x14ac:dyDescent="0.3"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5"/>
      <c r="AL198" s="15"/>
      <c r="AM198" s="15"/>
      <c r="AN198" s="15"/>
      <c r="AO198" s="15"/>
      <c r="AP198" s="15"/>
      <c r="AQ198" s="15"/>
    </row>
    <row r="199" spans="23:43" x14ac:dyDescent="0.3"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5"/>
      <c r="AL199" s="15"/>
      <c r="AM199" s="15"/>
      <c r="AN199" s="15"/>
      <c r="AO199" s="15"/>
      <c r="AP199" s="15"/>
      <c r="AQ199" s="15"/>
    </row>
    <row r="200" spans="23:43" x14ac:dyDescent="0.3"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5"/>
      <c r="AL200" s="15"/>
      <c r="AM200" s="15"/>
      <c r="AN200" s="15"/>
      <c r="AO200" s="15"/>
      <c r="AP200" s="15"/>
      <c r="AQ200" s="15"/>
    </row>
    <row r="201" spans="23:43" x14ac:dyDescent="0.3"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5"/>
      <c r="AL201" s="15"/>
      <c r="AM201" s="15"/>
      <c r="AN201" s="15"/>
      <c r="AO201" s="15"/>
      <c r="AP201" s="15"/>
      <c r="AQ201" s="15"/>
    </row>
    <row r="202" spans="23:43" x14ac:dyDescent="0.3"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5"/>
      <c r="AL202" s="15"/>
      <c r="AM202" s="15"/>
      <c r="AN202" s="15"/>
      <c r="AO202" s="15"/>
      <c r="AP202" s="15"/>
      <c r="AQ202" s="15"/>
    </row>
    <row r="203" spans="23:43" x14ac:dyDescent="0.3"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5"/>
      <c r="AL203" s="15"/>
      <c r="AM203" s="15"/>
      <c r="AN203" s="15"/>
      <c r="AO203" s="15"/>
      <c r="AP203" s="15"/>
      <c r="AQ203" s="15"/>
    </row>
    <row r="204" spans="23:43" x14ac:dyDescent="0.3"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5"/>
      <c r="AL204" s="15"/>
      <c r="AM204" s="15"/>
      <c r="AN204" s="15"/>
      <c r="AO204" s="15"/>
      <c r="AP204" s="15"/>
      <c r="AQ204" s="15"/>
    </row>
    <row r="205" spans="23:43" x14ac:dyDescent="0.3"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5"/>
      <c r="AL205" s="15"/>
      <c r="AM205" s="15"/>
      <c r="AN205" s="15"/>
      <c r="AO205" s="15"/>
      <c r="AP205" s="15"/>
      <c r="AQ205" s="15"/>
    </row>
    <row r="206" spans="23:43" x14ac:dyDescent="0.3"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5"/>
      <c r="AL206" s="15"/>
      <c r="AM206" s="15"/>
      <c r="AN206" s="15"/>
      <c r="AO206" s="15"/>
      <c r="AP206" s="15"/>
      <c r="AQ206" s="15"/>
    </row>
    <row r="207" spans="23:43" x14ac:dyDescent="0.3"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5"/>
      <c r="AL207" s="15"/>
      <c r="AM207" s="15"/>
      <c r="AN207" s="15"/>
      <c r="AO207" s="15"/>
      <c r="AP207" s="15"/>
      <c r="AQ207" s="15"/>
    </row>
    <row r="208" spans="23:43" x14ac:dyDescent="0.3"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5"/>
      <c r="AL208" s="15"/>
      <c r="AM208" s="15"/>
      <c r="AN208" s="15"/>
      <c r="AO208" s="15"/>
      <c r="AP208" s="15"/>
      <c r="AQ208" s="15"/>
    </row>
    <row r="209" spans="23:43" x14ac:dyDescent="0.3"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5"/>
      <c r="AL209" s="15"/>
      <c r="AM209" s="15"/>
      <c r="AN209" s="15"/>
      <c r="AO209" s="15"/>
      <c r="AP209" s="15"/>
      <c r="AQ209" s="15"/>
    </row>
    <row r="210" spans="23:43" x14ac:dyDescent="0.3"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5"/>
      <c r="AL210" s="15"/>
      <c r="AM210" s="15"/>
      <c r="AN210" s="15"/>
      <c r="AO210" s="15"/>
      <c r="AP210" s="15"/>
      <c r="AQ210" s="15"/>
    </row>
    <row r="211" spans="23:43" x14ac:dyDescent="0.3"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5"/>
      <c r="AL211" s="15"/>
      <c r="AM211" s="15"/>
      <c r="AN211" s="15"/>
      <c r="AO211" s="15"/>
      <c r="AP211" s="15"/>
      <c r="AQ211" s="15"/>
    </row>
    <row r="212" spans="23:43" x14ac:dyDescent="0.3"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5"/>
      <c r="AL212" s="15"/>
      <c r="AM212" s="15"/>
      <c r="AN212" s="15"/>
      <c r="AO212" s="15"/>
      <c r="AP212" s="15"/>
      <c r="AQ212" s="15"/>
    </row>
    <row r="213" spans="23:43" x14ac:dyDescent="0.3"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5"/>
      <c r="AL213" s="15"/>
      <c r="AM213" s="15"/>
      <c r="AN213" s="15"/>
      <c r="AO213" s="15"/>
      <c r="AP213" s="15"/>
      <c r="AQ213" s="15"/>
    </row>
    <row r="214" spans="23:43" x14ac:dyDescent="0.3"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5"/>
      <c r="AL214" s="15"/>
      <c r="AM214" s="15"/>
      <c r="AN214" s="15"/>
      <c r="AO214" s="15"/>
      <c r="AP214" s="15"/>
      <c r="AQ214" s="15"/>
    </row>
    <row r="215" spans="23:43" x14ac:dyDescent="0.3"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5"/>
      <c r="AL215" s="15"/>
      <c r="AM215" s="15"/>
      <c r="AN215" s="15"/>
      <c r="AO215" s="15"/>
      <c r="AP215" s="15"/>
      <c r="AQ215" s="15"/>
    </row>
    <row r="216" spans="23:43" x14ac:dyDescent="0.3"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5"/>
      <c r="AL216" s="15"/>
      <c r="AM216" s="15"/>
      <c r="AN216" s="15"/>
      <c r="AO216" s="15"/>
      <c r="AP216" s="15"/>
      <c r="AQ216" s="15"/>
    </row>
    <row r="217" spans="23:43" x14ac:dyDescent="0.3"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5"/>
      <c r="AL217" s="15"/>
      <c r="AM217" s="15"/>
      <c r="AN217" s="15"/>
      <c r="AO217" s="15"/>
      <c r="AP217" s="15"/>
      <c r="AQ217" s="15"/>
    </row>
    <row r="218" spans="23:43" x14ac:dyDescent="0.3"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5"/>
      <c r="AL218" s="15"/>
      <c r="AM218" s="15"/>
      <c r="AN218" s="15"/>
      <c r="AO218" s="15"/>
      <c r="AP218" s="15"/>
      <c r="AQ218" s="15"/>
    </row>
    <row r="219" spans="23:43" x14ac:dyDescent="0.3"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5"/>
      <c r="AL219" s="15"/>
      <c r="AM219" s="15"/>
      <c r="AN219" s="15"/>
      <c r="AO219" s="15"/>
      <c r="AP219" s="15"/>
      <c r="AQ219" s="15"/>
    </row>
    <row r="220" spans="23:43" x14ac:dyDescent="0.3"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5"/>
      <c r="AL220" s="15"/>
      <c r="AM220" s="15"/>
      <c r="AN220" s="15"/>
      <c r="AO220" s="15"/>
      <c r="AP220" s="15"/>
      <c r="AQ220" s="15"/>
    </row>
    <row r="221" spans="23:43" x14ac:dyDescent="0.3"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5"/>
      <c r="AL221" s="15"/>
      <c r="AM221" s="15"/>
      <c r="AN221" s="15"/>
      <c r="AO221" s="15"/>
      <c r="AP221" s="15"/>
      <c r="AQ221" s="15"/>
    </row>
    <row r="222" spans="23:43" x14ac:dyDescent="0.3"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5"/>
      <c r="AL222" s="15"/>
      <c r="AM222" s="15"/>
      <c r="AN222" s="15"/>
      <c r="AO222" s="15"/>
      <c r="AP222" s="15"/>
      <c r="AQ222" s="15"/>
    </row>
    <row r="223" spans="23:43" x14ac:dyDescent="0.3"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5"/>
      <c r="AL223" s="15"/>
      <c r="AM223" s="15"/>
      <c r="AN223" s="15"/>
      <c r="AO223" s="15"/>
      <c r="AP223" s="15"/>
      <c r="AQ223" s="15"/>
    </row>
    <row r="224" spans="23:43" x14ac:dyDescent="0.3"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5"/>
      <c r="AL224" s="15"/>
      <c r="AM224" s="15"/>
      <c r="AN224" s="15"/>
      <c r="AO224" s="15"/>
      <c r="AP224" s="15"/>
      <c r="AQ224" s="15"/>
    </row>
    <row r="225" spans="23:43" x14ac:dyDescent="0.3"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5"/>
      <c r="AL225" s="15"/>
      <c r="AM225" s="15"/>
      <c r="AN225" s="15"/>
      <c r="AO225" s="15"/>
      <c r="AP225" s="15"/>
      <c r="AQ225" s="15"/>
    </row>
    <row r="226" spans="23:43" x14ac:dyDescent="0.3"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5"/>
      <c r="AL226" s="15"/>
      <c r="AM226" s="15"/>
      <c r="AN226" s="15"/>
      <c r="AO226" s="15"/>
      <c r="AP226" s="15"/>
      <c r="AQ226" s="15"/>
    </row>
    <row r="227" spans="23:43" x14ac:dyDescent="0.3"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5"/>
      <c r="AL227" s="15"/>
      <c r="AM227" s="15"/>
      <c r="AN227" s="15"/>
      <c r="AO227" s="15"/>
      <c r="AP227" s="15"/>
      <c r="AQ227" s="15"/>
    </row>
    <row r="228" spans="23:43" x14ac:dyDescent="0.3"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5"/>
      <c r="AL228" s="15"/>
      <c r="AM228" s="15"/>
      <c r="AN228" s="15"/>
      <c r="AO228" s="15"/>
      <c r="AP228" s="15"/>
      <c r="AQ228" s="15"/>
    </row>
    <row r="229" spans="23:43" x14ac:dyDescent="0.3"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5"/>
      <c r="AL229" s="15"/>
      <c r="AM229" s="15"/>
      <c r="AN229" s="15"/>
      <c r="AO229" s="15"/>
      <c r="AP229" s="15"/>
      <c r="AQ229" s="15"/>
    </row>
    <row r="230" spans="23:43" x14ac:dyDescent="0.3"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5"/>
      <c r="AL230" s="15"/>
      <c r="AM230" s="15"/>
      <c r="AN230" s="15"/>
      <c r="AO230" s="15"/>
      <c r="AP230" s="15"/>
      <c r="AQ230" s="15"/>
    </row>
    <row r="231" spans="23:43" x14ac:dyDescent="0.3"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5"/>
      <c r="AL231" s="15"/>
      <c r="AM231" s="15"/>
      <c r="AN231" s="15"/>
      <c r="AO231" s="15"/>
      <c r="AP231" s="15"/>
      <c r="AQ231" s="15"/>
    </row>
    <row r="232" spans="23:43" x14ac:dyDescent="0.3"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5"/>
      <c r="AL232" s="15"/>
      <c r="AM232" s="15"/>
      <c r="AN232" s="15"/>
      <c r="AO232" s="15"/>
      <c r="AP232" s="15"/>
      <c r="AQ232" s="15"/>
    </row>
    <row r="233" spans="23:43" x14ac:dyDescent="0.3"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5"/>
      <c r="AL233" s="15"/>
      <c r="AM233" s="15"/>
      <c r="AN233" s="15"/>
      <c r="AO233" s="15"/>
      <c r="AP233" s="15"/>
      <c r="AQ233" s="15"/>
    </row>
    <row r="234" spans="23:43" x14ac:dyDescent="0.3"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5"/>
      <c r="AL234" s="15"/>
      <c r="AM234" s="15"/>
      <c r="AN234" s="15"/>
      <c r="AO234" s="15"/>
      <c r="AP234" s="15"/>
      <c r="AQ234" s="15"/>
    </row>
    <row r="235" spans="23:43" x14ac:dyDescent="0.3"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5"/>
      <c r="AL235" s="15"/>
      <c r="AM235" s="15"/>
      <c r="AN235" s="15"/>
      <c r="AO235" s="15"/>
      <c r="AP235" s="15"/>
      <c r="AQ235" s="15"/>
    </row>
    <row r="236" spans="23:43" x14ac:dyDescent="0.3"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5"/>
      <c r="AL236" s="15"/>
      <c r="AM236" s="15"/>
      <c r="AN236" s="15"/>
      <c r="AO236" s="15"/>
      <c r="AP236" s="15"/>
      <c r="AQ236" s="15"/>
    </row>
    <row r="237" spans="23:43" x14ac:dyDescent="0.3"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5"/>
      <c r="AL237" s="15"/>
      <c r="AM237" s="15"/>
      <c r="AN237" s="15"/>
      <c r="AO237" s="15"/>
      <c r="AP237" s="15"/>
      <c r="AQ237" s="15"/>
    </row>
    <row r="238" spans="23:43" x14ac:dyDescent="0.3"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5"/>
      <c r="AL238" s="15"/>
      <c r="AM238" s="15"/>
      <c r="AN238" s="15"/>
      <c r="AO238" s="15"/>
      <c r="AP238" s="15"/>
      <c r="AQ238" s="15"/>
    </row>
    <row r="239" spans="23:43" x14ac:dyDescent="0.3"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5"/>
      <c r="AL239" s="15"/>
      <c r="AM239" s="15"/>
      <c r="AN239" s="15"/>
      <c r="AO239" s="15"/>
      <c r="AP239" s="15"/>
      <c r="AQ239" s="15"/>
    </row>
    <row r="240" spans="23:43" x14ac:dyDescent="0.3"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5"/>
      <c r="AL240" s="15"/>
      <c r="AM240" s="15"/>
      <c r="AN240" s="15"/>
      <c r="AO240" s="15"/>
      <c r="AP240" s="15"/>
      <c r="AQ240" s="15"/>
    </row>
    <row r="241" spans="23:43" x14ac:dyDescent="0.3"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5"/>
      <c r="AL241" s="15"/>
      <c r="AM241" s="15"/>
      <c r="AN241" s="15"/>
      <c r="AO241" s="15"/>
      <c r="AP241" s="15"/>
      <c r="AQ241" s="15"/>
    </row>
    <row r="242" spans="23:43" x14ac:dyDescent="0.3"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5"/>
      <c r="AL242" s="15"/>
      <c r="AM242" s="15"/>
      <c r="AN242" s="15"/>
      <c r="AO242" s="15"/>
      <c r="AP242" s="15"/>
      <c r="AQ242" s="15"/>
    </row>
    <row r="243" spans="23:43" x14ac:dyDescent="0.3"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5"/>
      <c r="AL243" s="15"/>
      <c r="AM243" s="15"/>
      <c r="AN243" s="15"/>
      <c r="AO243" s="15"/>
      <c r="AP243" s="15"/>
      <c r="AQ243" s="15"/>
    </row>
    <row r="244" spans="23:43" x14ac:dyDescent="0.3"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5"/>
      <c r="AL244" s="15"/>
      <c r="AM244" s="15"/>
      <c r="AN244" s="15"/>
      <c r="AO244" s="15"/>
      <c r="AP244" s="15"/>
      <c r="AQ244" s="15"/>
    </row>
    <row r="245" spans="23:43" x14ac:dyDescent="0.3"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5"/>
      <c r="AL245" s="15"/>
      <c r="AM245" s="15"/>
      <c r="AN245" s="15"/>
      <c r="AO245" s="15"/>
      <c r="AP245" s="15"/>
      <c r="AQ245" s="15"/>
    </row>
    <row r="246" spans="23:43" x14ac:dyDescent="0.3"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5"/>
      <c r="AL246" s="15"/>
      <c r="AM246" s="15"/>
      <c r="AN246" s="15"/>
      <c r="AO246" s="15"/>
      <c r="AP246" s="15"/>
      <c r="AQ246" s="15"/>
    </row>
    <row r="247" spans="23:43" x14ac:dyDescent="0.3"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5"/>
      <c r="AL247" s="15"/>
      <c r="AM247" s="15"/>
      <c r="AN247" s="15"/>
      <c r="AO247" s="15"/>
      <c r="AP247" s="15"/>
      <c r="AQ247" s="15"/>
    </row>
    <row r="248" spans="23:43" x14ac:dyDescent="0.3"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5"/>
      <c r="AL248" s="15"/>
      <c r="AM248" s="15"/>
      <c r="AN248" s="15"/>
      <c r="AO248" s="15"/>
      <c r="AP248" s="15"/>
      <c r="AQ248" s="15"/>
    </row>
    <row r="249" spans="23:43" x14ac:dyDescent="0.3"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5"/>
      <c r="AL249" s="15"/>
      <c r="AM249" s="15"/>
      <c r="AN249" s="15"/>
      <c r="AO249" s="15"/>
      <c r="AP249" s="15"/>
      <c r="AQ249" s="15"/>
    </row>
    <row r="250" spans="23:43" x14ac:dyDescent="0.3"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5"/>
      <c r="AL250" s="15"/>
      <c r="AM250" s="15"/>
      <c r="AN250" s="15"/>
      <c r="AO250" s="15"/>
      <c r="AP250" s="15"/>
      <c r="AQ250" s="15"/>
    </row>
    <row r="251" spans="23:43" x14ac:dyDescent="0.3"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5"/>
      <c r="AL251" s="15"/>
      <c r="AM251" s="15"/>
      <c r="AN251" s="15"/>
      <c r="AO251" s="15"/>
      <c r="AP251" s="15"/>
      <c r="AQ251" s="15"/>
    </row>
    <row r="252" spans="23:43" x14ac:dyDescent="0.3"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5"/>
      <c r="AL252" s="15"/>
      <c r="AM252" s="15"/>
      <c r="AN252" s="15"/>
      <c r="AO252" s="15"/>
      <c r="AP252" s="15"/>
      <c r="AQ252" s="15"/>
    </row>
    <row r="253" spans="23:43" x14ac:dyDescent="0.3"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5"/>
      <c r="AL253" s="15"/>
      <c r="AM253" s="15"/>
      <c r="AN253" s="15"/>
      <c r="AO253" s="15"/>
      <c r="AP253" s="15"/>
      <c r="AQ253" s="15"/>
    </row>
    <row r="254" spans="23:43" x14ac:dyDescent="0.3"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5"/>
      <c r="AL254" s="15"/>
      <c r="AM254" s="15"/>
      <c r="AN254" s="15"/>
      <c r="AO254" s="15"/>
      <c r="AP254" s="15"/>
      <c r="AQ254" s="15"/>
    </row>
    <row r="255" spans="23:43" x14ac:dyDescent="0.3"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5"/>
      <c r="AL255" s="15"/>
      <c r="AM255" s="15"/>
      <c r="AN255" s="15"/>
      <c r="AO255" s="15"/>
      <c r="AP255" s="15"/>
      <c r="AQ255" s="15"/>
    </row>
    <row r="256" spans="23:43" x14ac:dyDescent="0.3"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5"/>
      <c r="AL256" s="15"/>
      <c r="AM256" s="15"/>
      <c r="AN256" s="15"/>
      <c r="AO256" s="15"/>
      <c r="AP256" s="15"/>
      <c r="AQ256" s="15"/>
    </row>
    <row r="257" spans="23:43" x14ac:dyDescent="0.3"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5"/>
      <c r="AL257" s="15"/>
      <c r="AM257" s="15"/>
      <c r="AN257" s="15"/>
      <c r="AO257" s="15"/>
      <c r="AP257" s="15"/>
      <c r="AQ257" s="15"/>
    </row>
    <row r="258" spans="23:43" x14ac:dyDescent="0.3"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5"/>
      <c r="AL258" s="15"/>
      <c r="AM258" s="15"/>
      <c r="AN258" s="15"/>
      <c r="AO258" s="15"/>
      <c r="AP258" s="15"/>
      <c r="AQ258" s="15"/>
    </row>
    <row r="259" spans="23:43" x14ac:dyDescent="0.3"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5"/>
      <c r="AL259" s="15"/>
      <c r="AM259" s="15"/>
      <c r="AN259" s="15"/>
      <c r="AO259" s="15"/>
      <c r="AP259" s="15"/>
      <c r="AQ259" s="15"/>
    </row>
    <row r="260" spans="23:43" x14ac:dyDescent="0.3"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5"/>
      <c r="AL260" s="15"/>
      <c r="AM260" s="15"/>
      <c r="AN260" s="15"/>
      <c r="AO260" s="15"/>
      <c r="AP260" s="15"/>
      <c r="AQ260" s="15"/>
    </row>
    <row r="261" spans="23:43" x14ac:dyDescent="0.3"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5"/>
      <c r="AL261" s="15"/>
      <c r="AM261" s="15"/>
      <c r="AN261" s="15"/>
      <c r="AO261" s="15"/>
      <c r="AP261" s="15"/>
      <c r="AQ261" s="15"/>
    </row>
    <row r="262" spans="23:43" x14ac:dyDescent="0.3"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5"/>
      <c r="AL262" s="15"/>
      <c r="AM262" s="15"/>
      <c r="AN262" s="15"/>
      <c r="AO262" s="15"/>
      <c r="AP262" s="15"/>
      <c r="AQ262" s="15"/>
    </row>
    <row r="263" spans="23:43" x14ac:dyDescent="0.3"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5"/>
      <c r="AL263" s="15"/>
      <c r="AM263" s="15"/>
      <c r="AN263" s="15"/>
      <c r="AO263" s="15"/>
      <c r="AP263" s="15"/>
      <c r="AQ263" s="15"/>
    </row>
    <row r="264" spans="23:43" x14ac:dyDescent="0.3"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5"/>
      <c r="AL264" s="15"/>
      <c r="AM264" s="15"/>
      <c r="AN264" s="15"/>
      <c r="AO264" s="15"/>
      <c r="AP264" s="15"/>
      <c r="AQ264" s="15"/>
    </row>
    <row r="265" spans="23:43" x14ac:dyDescent="0.3"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5"/>
      <c r="AL265" s="15"/>
      <c r="AM265" s="15"/>
      <c r="AN265" s="15"/>
      <c r="AO265" s="15"/>
      <c r="AP265" s="15"/>
      <c r="AQ265" s="15"/>
    </row>
    <row r="266" spans="23:43" x14ac:dyDescent="0.3"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5"/>
      <c r="AL266" s="15"/>
      <c r="AM266" s="15"/>
      <c r="AN266" s="15"/>
      <c r="AO266" s="15"/>
      <c r="AP266" s="15"/>
      <c r="AQ266" s="15"/>
    </row>
    <row r="267" spans="23:43" x14ac:dyDescent="0.3"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5"/>
      <c r="AL267" s="15"/>
      <c r="AM267" s="15"/>
      <c r="AN267" s="15"/>
      <c r="AO267" s="15"/>
      <c r="AP267" s="15"/>
      <c r="AQ267" s="15"/>
    </row>
    <row r="268" spans="23:43" x14ac:dyDescent="0.3"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5"/>
      <c r="AL268" s="15"/>
      <c r="AM268" s="15"/>
      <c r="AN268" s="15"/>
      <c r="AO268" s="15"/>
      <c r="AP268" s="15"/>
      <c r="AQ268" s="15"/>
    </row>
    <row r="269" spans="23:43" x14ac:dyDescent="0.3"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5"/>
      <c r="AL269" s="15"/>
      <c r="AM269" s="15"/>
      <c r="AN269" s="15"/>
      <c r="AO269" s="15"/>
      <c r="AP269" s="15"/>
      <c r="AQ269" s="15"/>
    </row>
    <row r="270" spans="23:43" x14ac:dyDescent="0.3"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5"/>
      <c r="AL270" s="15"/>
      <c r="AM270" s="15"/>
      <c r="AN270" s="15"/>
      <c r="AO270" s="15"/>
      <c r="AP270" s="15"/>
      <c r="AQ270" s="15"/>
    </row>
    <row r="271" spans="23:43" x14ac:dyDescent="0.3"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5"/>
      <c r="AL271" s="15"/>
      <c r="AM271" s="15"/>
      <c r="AN271" s="15"/>
      <c r="AO271" s="15"/>
      <c r="AP271" s="15"/>
      <c r="AQ271" s="15"/>
    </row>
    <row r="272" spans="23:43" x14ac:dyDescent="0.3"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5"/>
      <c r="AL272" s="15"/>
      <c r="AM272" s="15"/>
      <c r="AN272" s="15"/>
      <c r="AO272" s="15"/>
      <c r="AP272" s="15"/>
      <c r="AQ272" s="15"/>
    </row>
    <row r="273" spans="23:43" x14ac:dyDescent="0.3"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5"/>
      <c r="AL273" s="15"/>
      <c r="AM273" s="15"/>
      <c r="AN273" s="15"/>
      <c r="AO273" s="15"/>
      <c r="AP273" s="15"/>
      <c r="AQ273" s="15"/>
    </row>
    <row r="274" spans="23:43" x14ac:dyDescent="0.3"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5"/>
      <c r="AL274" s="15"/>
      <c r="AM274" s="15"/>
      <c r="AN274" s="15"/>
      <c r="AO274" s="15"/>
      <c r="AP274" s="15"/>
      <c r="AQ274" s="15"/>
    </row>
    <row r="275" spans="23:43" x14ac:dyDescent="0.3"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5"/>
      <c r="AL275" s="15"/>
      <c r="AM275" s="15"/>
      <c r="AN275" s="15"/>
      <c r="AO275" s="15"/>
      <c r="AP275" s="15"/>
      <c r="AQ275" s="15"/>
    </row>
    <row r="276" spans="23:43" x14ac:dyDescent="0.3"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5"/>
      <c r="AL276" s="15"/>
      <c r="AM276" s="15"/>
      <c r="AN276" s="15"/>
      <c r="AO276" s="15"/>
      <c r="AP276" s="15"/>
      <c r="AQ276" s="15"/>
    </row>
    <row r="277" spans="23:43" x14ac:dyDescent="0.3"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5"/>
      <c r="AL277" s="15"/>
      <c r="AM277" s="15"/>
      <c r="AN277" s="15"/>
      <c r="AO277" s="15"/>
      <c r="AP277" s="15"/>
      <c r="AQ277" s="15"/>
    </row>
    <row r="278" spans="23:43" x14ac:dyDescent="0.3"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5"/>
      <c r="AL278" s="15"/>
      <c r="AM278" s="15"/>
      <c r="AN278" s="15"/>
      <c r="AO278" s="15"/>
      <c r="AP278" s="15"/>
      <c r="AQ278" s="15"/>
    </row>
    <row r="279" spans="23:43" x14ac:dyDescent="0.3"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5"/>
      <c r="AL279" s="15"/>
      <c r="AM279" s="15"/>
      <c r="AN279" s="15"/>
      <c r="AO279" s="15"/>
      <c r="AP279" s="15"/>
      <c r="AQ279" s="15"/>
    </row>
    <row r="280" spans="23:43" x14ac:dyDescent="0.3"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5"/>
      <c r="AL280" s="15"/>
      <c r="AM280" s="15"/>
      <c r="AN280" s="15"/>
      <c r="AO280" s="15"/>
      <c r="AP280" s="15"/>
      <c r="AQ280" s="15"/>
    </row>
    <row r="281" spans="23:43" x14ac:dyDescent="0.3"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5"/>
      <c r="AL281" s="15"/>
      <c r="AM281" s="15"/>
      <c r="AN281" s="15"/>
      <c r="AO281" s="15"/>
      <c r="AP281" s="15"/>
      <c r="AQ281" s="15"/>
    </row>
    <row r="282" spans="23:43" x14ac:dyDescent="0.3"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5"/>
      <c r="AL282" s="15"/>
      <c r="AM282" s="15"/>
      <c r="AN282" s="15"/>
      <c r="AO282" s="15"/>
      <c r="AP282" s="15"/>
      <c r="AQ282" s="15"/>
    </row>
    <row r="283" spans="23:43" x14ac:dyDescent="0.3"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5"/>
      <c r="AL283" s="15"/>
      <c r="AM283" s="15"/>
      <c r="AN283" s="15"/>
      <c r="AO283" s="15"/>
      <c r="AP283" s="15"/>
      <c r="AQ283" s="15"/>
    </row>
    <row r="284" spans="23:43" x14ac:dyDescent="0.3"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5"/>
      <c r="AL284" s="15"/>
      <c r="AM284" s="15"/>
      <c r="AN284" s="15"/>
      <c r="AO284" s="15"/>
      <c r="AP284" s="15"/>
      <c r="AQ284" s="15"/>
    </row>
    <row r="285" spans="23:43" x14ac:dyDescent="0.3"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5"/>
      <c r="AL285" s="15"/>
      <c r="AM285" s="15"/>
      <c r="AN285" s="15"/>
      <c r="AO285" s="15"/>
      <c r="AP285" s="15"/>
      <c r="AQ285" s="15"/>
    </row>
    <row r="286" spans="23:43" x14ac:dyDescent="0.3"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5"/>
      <c r="AL286" s="15"/>
      <c r="AM286" s="15"/>
      <c r="AN286" s="15"/>
      <c r="AO286" s="15"/>
      <c r="AP286" s="15"/>
      <c r="AQ286" s="15"/>
    </row>
    <row r="287" spans="23:43" x14ac:dyDescent="0.3"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5"/>
      <c r="AL287" s="15"/>
      <c r="AM287" s="15"/>
      <c r="AN287" s="15"/>
      <c r="AO287" s="15"/>
      <c r="AP287" s="15"/>
      <c r="AQ287" s="15"/>
    </row>
    <row r="288" spans="23:43" x14ac:dyDescent="0.3"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5"/>
      <c r="AL288" s="15"/>
      <c r="AM288" s="15"/>
      <c r="AN288" s="15"/>
      <c r="AO288" s="15"/>
      <c r="AP288" s="15"/>
      <c r="AQ288" s="15"/>
    </row>
    <row r="289" spans="23:43" x14ac:dyDescent="0.3"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5"/>
      <c r="AL289" s="15"/>
      <c r="AM289" s="15"/>
      <c r="AN289" s="15"/>
      <c r="AO289" s="15"/>
      <c r="AP289" s="15"/>
      <c r="AQ289" s="15"/>
    </row>
    <row r="290" spans="23:43" x14ac:dyDescent="0.3"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5"/>
      <c r="AL290" s="15"/>
      <c r="AM290" s="15"/>
      <c r="AN290" s="15"/>
      <c r="AO290" s="15"/>
      <c r="AP290" s="15"/>
      <c r="AQ290" s="15"/>
    </row>
    <row r="291" spans="23:43" x14ac:dyDescent="0.3"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5"/>
      <c r="AL291" s="15"/>
      <c r="AM291" s="15"/>
      <c r="AN291" s="15"/>
      <c r="AO291" s="15"/>
      <c r="AP291" s="15"/>
      <c r="AQ291" s="15"/>
    </row>
    <row r="292" spans="23:43" x14ac:dyDescent="0.3"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5"/>
      <c r="AL292" s="15"/>
      <c r="AM292" s="15"/>
      <c r="AN292" s="15"/>
      <c r="AO292" s="15"/>
      <c r="AP292" s="15"/>
      <c r="AQ292" s="15"/>
    </row>
    <row r="293" spans="23:43" x14ac:dyDescent="0.3"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5"/>
      <c r="AL293" s="15"/>
      <c r="AM293" s="15"/>
      <c r="AN293" s="15"/>
      <c r="AO293" s="15"/>
      <c r="AP293" s="15"/>
      <c r="AQ293" s="15"/>
    </row>
    <row r="294" spans="23:43" x14ac:dyDescent="0.3"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5"/>
      <c r="AL294" s="15"/>
      <c r="AM294" s="15"/>
      <c r="AN294" s="15"/>
      <c r="AO294" s="15"/>
      <c r="AP294" s="15"/>
      <c r="AQ294" s="15"/>
    </row>
    <row r="295" spans="23:43" x14ac:dyDescent="0.3"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5"/>
      <c r="AL295" s="15"/>
      <c r="AM295" s="15"/>
      <c r="AN295" s="15"/>
      <c r="AO295" s="15"/>
      <c r="AP295" s="15"/>
      <c r="AQ295" s="15"/>
    </row>
    <row r="296" spans="23:43" x14ac:dyDescent="0.3"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5"/>
      <c r="AL296" s="15"/>
      <c r="AM296" s="15"/>
      <c r="AN296" s="15"/>
      <c r="AO296" s="15"/>
      <c r="AP296" s="15"/>
      <c r="AQ296" s="15"/>
    </row>
    <row r="297" spans="23:43" x14ac:dyDescent="0.3"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5"/>
      <c r="AL297" s="15"/>
      <c r="AM297" s="15"/>
      <c r="AN297" s="15"/>
      <c r="AO297" s="15"/>
      <c r="AP297" s="15"/>
      <c r="AQ297" s="15"/>
    </row>
    <row r="298" spans="23:43" x14ac:dyDescent="0.3"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5"/>
      <c r="AL298" s="15"/>
      <c r="AM298" s="15"/>
      <c r="AN298" s="15"/>
      <c r="AO298" s="15"/>
      <c r="AP298" s="15"/>
      <c r="AQ298" s="15"/>
    </row>
    <row r="299" spans="23:43" x14ac:dyDescent="0.3"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5"/>
      <c r="AL299" s="15"/>
      <c r="AM299" s="15"/>
      <c r="AN299" s="15"/>
      <c r="AO299" s="15"/>
      <c r="AP299" s="15"/>
      <c r="AQ299" s="15"/>
    </row>
    <row r="300" spans="23:43" x14ac:dyDescent="0.3"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5"/>
      <c r="AL300" s="15"/>
      <c r="AM300" s="15"/>
      <c r="AN300" s="15"/>
      <c r="AO300" s="15"/>
      <c r="AP300" s="15"/>
      <c r="AQ300" s="15"/>
    </row>
    <row r="301" spans="23:43" x14ac:dyDescent="0.3"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5"/>
      <c r="AL301" s="15"/>
      <c r="AM301" s="15"/>
      <c r="AN301" s="15"/>
      <c r="AO301" s="15"/>
      <c r="AP301" s="15"/>
      <c r="AQ301" s="15"/>
    </row>
    <row r="302" spans="23:43" x14ac:dyDescent="0.3"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5"/>
      <c r="AL302" s="15"/>
      <c r="AM302" s="15"/>
      <c r="AN302" s="15"/>
      <c r="AO302" s="15"/>
      <c r="AP302" s="15"/>
      <c r="AQ302" s="15"/>
    </row>
    <row r="303" spans="23:43" x14ac:dyDescent="0.3"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5"/>
      <c r="AL303" s="15"/>
      <c r="AM303" s="15"/>
      <c r="AN303" s="15"/>
      <c r="AO303" s="15"/>
      <c r="AP303" s="15"/>
      <c r="AQ303" s="15"/>
    </row>
    <row r="304" spans="23:43" x14ac:dyDescent="0.3"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5"/>
      <c r="AL304" s="15"/>
      <c r="AM304" s="15"/>
      <c r="AN304" s="15"/>
      <c r="AO304" s="15"/>
      <c r="AP304" s="15"/>
      <c r="AQ304" s="15"/>
    </row>
    <row r="305" spans="23:43" x14ac:dyDescent="0.3"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5"/>
      <c r="AL305" s="15"/>
      <c r="AM305" s="15"/>
      <c r="AN305" s="15"/>
      <c r="AO305" s="15"/>
      <c r="AP305" s="15"/>
      <c r="AQ305" s="15"/>
    </row>
    <row r="306" spans="23:43" x14ac:dyDescent="0.3"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5"/>
      <c r="AL306" s="15"/>
      <c r="AM306" s="15"/>
      <c r="AN306" s="15"/>
      <c r="AO306" s="15"/>
      <c r="AP306" s="15"/>
      <c r="AQ306" s="15"/>
    </row>
    <row r="307" spans="23:43" x14ac:dyDescent="0.3"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5"/>
      <c r="AL307" s="15"/>
      <c r="AM307" s="15"/>
      <c r="AN307" s="15"/>
      <c r="AO307" s="15"/>
      <c r="AP307" s="15"/>
      <c r="AQ307" s="15"/>
    </row>
    <row r="308" spans="23:43" x14ac:dyDescent="0.3"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5"/>
      <c r="AL308" s="15"/>
      <c r="AM308" s="15"/>
      <c r="AN308" s="15"/>
      <c r="AO308" s="15"/>
      <c r="AP308" s="15"/>
      <c r="AQ308" s="15"/>
    </row>
    <row r="309" spans="23:43" x14ac:dyDescent="0.3"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5"/>
      <c r="AL309" s="15"/>
      <c r="AM309" s="15"/>
      <c r="AN309" s="15"/>
      <c r="AO309" s="15"/>
      <c r="AP309" s="15"/>
      <c r="AQ309" s="15"/>
    </row>
    <row r="310" spans="23:43" x14ac:dyDescent="0.3"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5"/>
      <c r="AL310" s="15"/>
      <c r="AM310" s="15"/>
      <c r="AN310" s="15"/>
      <c r="AO310" s="15"/>
      <c r="AP310" s="15"/>
      <c r="AQ310" s="15"/>
    </row>
    <row r="311" spans="23:43" x14ac:dyDescent="0.3"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5"/>
      <c r="AL311" s="15"/>
      <c r="AM311" s="15"/>
      <c r="AN311" s="15"/>
      <c r="AO311" s="15"/>
      <c r="AP311" s="15"/>
      <c r="AQ311" s="15"/>
    </row>
    <row r="312" spans="23:43" x14ac:dyDescent="0.3"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5"/>
      <c r="AL312" s="15"/>
      <c r="AM312" s="15"/>
      <c r="AN312" s="15"/>
      <c r="AO312" s="15"/>
      <c r="AP312" s="15"/>
      <c r="AQ312" s="15"/>
    </row>
    <row r="313" spans="23:43" x14ac:dyDescent="0.3"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5"/>
      <c r="AL313" s="15"/>
      <c r="AM313" s="15"/>
      <c r="AN313" s="15"/>
      <c r="AO313" s="15"/>
      <c r="AP313" s="15"/>
      <c r="AQ313" s="15"/>
    </row>
    <row r="314" spans="23:43" x14ac:dyDescent="0.3"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5"/>
      <c r="AL314" s="15"/>
      <c r="AM314" s="15"/>
      <c r="AN314" s="15"/>
      <c r="AO314" s="15"/>
      <c r="AP314" s="15"/>
      <c r="AQ314" s="15"/>
    </row>
    <row r="315" spans="23:43" x14ac:dyDescent="0.3"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5"/>
      <c r="AL315" s="15"/>
      <c r="AM315" s="15"/>
      <c r="AN315" s="15"/>
      <c r="AO315" s="15"/>
      <c r="AP315" s="15"/>
      <c r="AQ315" s="15"/>
    </row>
    <row r="316" spans="23:43" x14ac:dyDescent="0.3"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5"/>
      <c r="AL316" s="15"/>
      <c r="AM316" s="15"/>
      <c r="AN316" s="15"/>
      <c r="AO316" s="15"/>
      <c r="AP316" s="15"/>
      <c r="AQ316" s="15"/>
    </row>
    <row r="317" spans="23:43" x14ac:dyDescent="0.3"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5"/>
      <c r="AL317" s="15"/>
      <c r="AM317" s="15"/>
      <c r="AN317" s="15"/>
      <c r="AO317" s="15"/>
      <c r="AP317" s="15"/>
      <c r="AQ317" s="15"/>
    </row>
    <row r="318" spans="23:43" x14ac:dyDescent="0.3"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5"/>
      <c r="AL318" s="15"/>
      <c r="AM318" s="15"/>
      <c r="AN318" s="15"/>
      <c r="AO318" s="15"/>
      <c r="AP318" s="15"/>
      <c r="AQ318" s="15"/>
    </row>
    <row r="319" spans="23:43" x14ac:dyDescent="0.3"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5"/>
      <c r="AL319" s="15"/>
      <c r="AM319" s="15"/>
      <c r="AN319" s="15"/>
      <c r="AO319" s="15"/>
      <c r="AP319" s="15"/>
      <c r="AQ319" s="15"/>
    </row>
    <row r="320" spans="23:43" x14ac:dyDescent="0.3"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5"/>
      <c r="AL320" s="15"/>
      <c r="AM320" s="15"/>
      <c r="AN320" s="15"/>
      <c r="AO320" s="15"/>
      <c r="AP320" s="15"/>
      <c r="AQ320" s="15"/>
    </row>
    <row r="321" spans="23:43" x14ac:dyDescent="0.3"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5"/>
      <c r="AL321" s="15"/>
      <c r="AM321" s="15"/>
      <c r="AN321" s="15"/>
      <c r="AO321" s="15"/>
      <c r="AP321" s="15"/>
      <c r="AQ321" s="15"/>
    </row>
    <row r="322" spans="23:43" x14ac:dyDescent="0.3"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5"/>
      <c r="AL322" s="15"/>
      <c r="AM322" s="15"/>
      <c r="AN322" s="15"/>
      <c r="AO322" s="15"/>
      <c r="AP322" s="15"/>
      <c r="AQ322" s="15"/>
    </row>
    <row r="323" spans="23:43" x14ac:dyDescent="0.3"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5"/>
      <c r="AL323" s="15"/>
      <c r="AM323" s="15"/>
      <c r="AN323" s="15"/>
      <c r="AO323" s="15"/>
      <c r="AP323" s="15"/>
      <c r="AQ323" s="15"/>
    </row>
    <row r="324" spans="23:43" x14ac:dyDescent="0.3"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5"/>
      <c r="AL324" s="15"/>
      <c r="AM324" s="15"/>
      <c r="AN324" s="15"/>
      <c r="AO324" s="15"/>
      <c r="AP324" s="15"/>
      <c r="AQ324" s="15"/>
    </row>
    <row r="325" spans="23:43" x14ac:dyDescent="0.3"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5"/>
      <c r="AL325" s="15"/>
      <c r="AM325" s="15"/>
      <c r="AN325" s="15"/>
      <c r="AO325" s="15"/>
      <c r="AP325" s="15"/>
      <c r="AQ325" s="15"/>
    </row>
    <row r="326" spans="23:43" x14ac:dyDescent="0.3"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5"/>
      <c r="AL326" s="15"/>
      <c r="AM326" s="15"/>
      <c r="AN326" s="15"/>
      <c r="AO326" s="15"/>
      <c r="AP326" s="15"/>
      <c r="AQ326" s="15"/>
    </row>
    <row r="327" spans="23:43" x14ac:dyDescent="0.3"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5"/>
      <c r="AL327" s="15"/>
      <c r="AM327" s="15"/>
      <c r="AN327" s="15"/>
      <c r="AO327" s="15"/>
      <c r="AP327" s="15"/>
      <c r="AQ327" s="15"/>
    </row>
    <row r="328" spans="23:43" x14ac:dyDescent="0.3"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5"/>
      <c r="AL328" s="15"/>
      <c r="AM328" s="15"/>
      <c r="AN328" s="15"/>
      <c r="AO328" s="15"/>
      <c r="AP328" s="15"/>
      <c r="AQ328" s="15"/>
    </row>
    <row r="329" spans="23:43" x14ac:dyDescent="0.3"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5"/>
      <c r="AL329" s="15"/>
      <c r="AM329" s="15"/>
      <c r="AN329" s="15"/>
      <c r="AO329" s="15"/>
      <c r="AP329" s="15"/>
      <c r="AQ329" s="15"/>
    </row>
    <row r="330" spans="23:43" x14ac:dyDescent="0.3"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5"/>
      <c r="AL330" s="15"/>
      <c r="AM330" s="15"/>
      <c r="AN330" s="15"/>
      <c r="AO330" s="15"/>
      <c r="AP330" s="15"/>
      <c r="AQ330" s="15"/>
    </row>
    <row r="331" spans="23:43" x14ac:dyDescent="0.3"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5"/>
      <c r="AL331" s="15"/>
      <c r="AM331" s="15"/>
      <c r="AN331" s="15"/>
      <c r="AO331" s="15"/>
      <c r="AP331" s="15"/>
      <c r="AQ331" s="15"/>
    </row>
    <row r="332" spans="23:43" x14ac:dyDescent="0.3"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5"/>
      <c r="AL332" s="15"/>
      <c r="AM332" s="15"/>
      <c r="AN332" s="15"/>
      <c r="AO332" s="15"/>
      <c r="AP332" s="15"/>
      <c r="AQ332" s="15"/>
    </row>
    <row r="333" spans="23:43" x14ac:dyDescent="0.3"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5"/>
      <c r="AL333" s="15"/>
      <c r="AM333" s="15"/>
      <c r="AN333" s="15"/>
      <c r="AO333" s="15"/>
      <c r="AP333" s="15"/>
      <c r="AQ333" s="15"/>
    </row>
    <row r="334" spans="23:43" x14ac:dyDescent="0.3"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5"/>
      <c r="AL334" s="15"/>
      <c r="AM334" s="15"/>
      <c r="AN334" s="15"/>
      <c r="AO334" s="15"/>
      <c r="AP334" s="15"/>
      <c r="AQ334" s="15"/>
    </row>
    <row r="335" spans="23:43" x14ac:dyDescent="0.3"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5"/>
      <c r="AL335" s="15"/>
      <c r="AM335" s="15"/>
      <c r="AN335" s="15"/>
      <c r="AO335" s="15"/>
      <c r="AP335" s="15"/>
      <c r="AQ335" s="15"/>
    </row>
    <row r="336" spans="23:43" x14ac:dyDescent="0.3"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5"/>
      <c r="AL336" s="15"/>
      <c r="AM336" s="15"/>
      <c r="AN336" s="15"/>
      <c r="AO336" s="15"/>
      <c r="AP336" s="15"/>
      <c r="AQ336" s="15"/>
    </row>
    <row r="337" spans="23:43" x14ac:dyDescent="0.3"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5"/>
      <c r="AL337" s="15"/>
      <c r="AM337" s="15"/>
      <c r="AN337" s="15"/>
      <c r="AO337" s="15"/>
      <c r="AP337" s="15"/>
      <c r="AQ337" s="15"/>
    </row>
    <row r="338" spans="23:43" x14ac:dyDescent="0.3"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5"/>
      <c r="AL338" s="15"/>
      <c r="AM338" s="15"/>
      <c r="AN338" s="15"/>
      <c r="AO338" s="15"/>
      <c r="AP338" s="15"/>
      <c r="AQ338" s="15"/>
    </row>
    <row r="339" spans="23:43" x14ac:dyDescent="0.3"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5"/>
      <c r="AL339" s="15"/>
      <c r="AM339" s="15"/>
      <c r="AN339" s="15"/>
      <c r="AO339" s="15"/>
      <c r="AP339" s="15"/>
      <c r="AQ339" s="15"/>
    </row>
    <row r="340" spans="23:43" x14ac:dyDescent="0.3"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5"/>
      <c r="AL340" s="15"/>
      <c r="AM340" s="15"/>
      <c r="AN340" s="15"/>
      <c r="AO340" s="15"/>
      <c r="AP340" s="15"/>
      <c r="AQ340" s="15"/>
    </row>
    <row r="341" spans="23:43" x14ac:dyDescent="0.3"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5"/>
      <c r="AL341" s="15"/>
      <c r="AM341" s="15"/>
      <c r="AN341" s="15"/>
      <c r="AO341" s="15"/>
      <c r="AP341" s="15"/>
      <c r="AQ341" s="15"/>
    </row>
    <row r="342" spans="23:43" x14ac:dyDescent="0.3"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5"/>
      <c r="AL342" s="15"/>
      <c r="AM342" s="15"/>
      <c r="AN342" s="15"/>
      <c r="AO342" s="15"/>
      <c r="AP342" s="15"/>
      <c r="AQ342" s="15"/>
    </row>
    <row r="343" spans="23:43" x14ac:dyDescent="0.3"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5"/>
      <c r="AL343" s="15"/>
      <c r="AM343" s="15"/>
      <c r="AN343" s="15"/>
      <c r="AO343" s="15"/>
      <c r="AP343" s="15"/>
      <c r="AQ343" s="15"/>
    </row>
    <row r="344" spans="23:43" x14ac:dyDescent="0.3"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5"/>
      <c r="AL344" s="15"/>
      <c r="AM344" s="15"/>
      <c r="AN344" s="15"/>
      <c r="AO344" s="15"/>
      <c r="AP344" s="15"/>
      <c r="AQ344" s="15"/>
    </row>
    <row r="345" spans="23:43" x14ac:dyDescent="0.3"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5"/>
      <c r="AL345" s="15"/>
      <c r="AM345" s="15"/>
      <c r="AN345" s="15"/>
      <c r="AO345" s="15"/>
      <c r="AP345" s="15"/>
      <c r="AQ345" s="15"/>
    </row>
    <row r="346" spans="23:43" x14ac:dyDescent="0.3"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5"/>
      <c r="AL346" s="15"/>
      <c r="AM346" s="15"/>
      <c r="AN346" s="15"/>
      <c r="AO346" s="15"/>
      <c r="AP346" s="15"/>
      <c r="AQ346" s="15"/>
    </row>
    <row r="347" spans="23:43" x14ac:dyDescent="0.3"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5"/>
      <c r="AL347" s="15"/>
      <c r="AM347" s="15"/>
      <c r="AN347" s="15"/>
      <c r="AO347" s="15"/>
      <c r="AP347" s="15"/>
      <c r="AQ347" s="15"/>
    </row>
    <row r="348" spans="23:43" x14ac:dyDescent="0.3"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5"/>
      <c r="AL348" s="15"/>
      <c r="AM348" s="15"/>
      <c r="AN348" s="15"/>
      <c r="AO348" s="15"/>
      <c r="AP348" s="15"/>
      <c r="AQ348" s="15"/>
    </row>
    <row r="349" spans="23:43" x14ac:dyDescent="0.3"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5"/>
      <c r="AL349" s="15"/>
      <c r="AM349" s="15"/>
      <c r="AN349" s="15"/>
      <c r="AO349" s="15"/>
      <c r="AP349" s="15"/>
      <c r="AQ349" s="15"/>
    </row>
    <row r="350" spans="23:43" x14ac:dyDescent="0.3"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5"/>
      <c r="AL350" s="15"/>
      <c r="AM350" s="15"/>
      <c r="AN350" s="15"/>
      <c r="AO350" s="15"/>
      <c r="AP350" s="15"/>
      <c r="AQ350" s="15"/>
    </row>
    <row r="351" spans="23:43" x14ac:dyDescent="0.3"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5"/>
      <c r="AL351" s="15"/>
      <c r="AM351" s="15"/>
      <c r="AN351" s="15"/>
      <c r="AO351" s="15"/>
      <c r="AP351" s="15"/>
      <c r="AQ351" s="15"/>
    </row>
    <row r="352" spans="23:43" x14ac:dyDescent="0.3"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5"/>
      <c r="AL352" s="15"/>
      <c r="AM352" s="15"/>
      <c r="AN352" s="15"/>
      <c r="AO352" s="15"/>
      <c r="AP352" s="15"/>
      <c r="AQ352" s="15"/>
    </row>
    <row r="353" spans="23:43" x14ac:dyDescent="0.3"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5"/>
      <c r="AL353" s="15"/>
      <c r="AM353" s="15"/>
      <c r="AN353" s="15"/>
      <c r="AO353" s="15"/>
      <c r="AP353" s="15"/>
      <c r="AQ353" s="15"/>
    </row>
    <row r="354" spans="23:43" x14ac:dyDescent="0.3"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5"/>
      <c r="AL354" s="15"/>
      <c r="AM354" s="15"/>
      <c r="AN354" s="15"/>
      <c r="AO354" s="15"/>
      <c r="AP354" s="15"/>
      <c r="AQ354" s="15"/>
    </row>
    <row r="355" spans="23:43" x14ac:dyDescent="0.3"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5"/>
      <c r="AL355" s="15"/>
      <c r="AM355" s="15"/>
      <c r="AN355" s="15"/>
      <c r="AO355" s="15"/>
      <c r="AP355" s="15"/>
      <c r="AQ355" s="15"/>
    </row>
    <row r="356" spans="23:43" x14ac:dyDescent="0.3"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5"/>
      <c r="AL356" s="15"/>
      <c r="AM356" s="15"/>
      <c r="AN356" s="15"/>
      <c r="AO356" s="15"/>
      <c r="AP356" s="15"/>
      <c r="AQ356" s="15"/>
    </row>
    <row r="357" spans="23:43" x14ac:dyDescent="0.3"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5"/>
      <c r="AL357" s="15"/>
      <c r="AM357" s="15"/>
      <c r="AN357" s="15"/>
      <c r="AO357" s="15"/>
      <c r="AP357" s="15"/>
      <c r="AQ357" s="15"/>
    </row>
    <row r="358" spans="23:43" x14ac:dyDescent="0.3"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5"/>
      <c r="AL358" s="15"/>
      <c r="AM358" s="15"/>
      <c r="AN358" s="15"/>
      <c r="AO358" s="15"/>
      <c r="AP358" s="15"/>
      <c r="AQ358" s="15"/>
    </row>
    <row r="359" spans="23:43" x14ac:dyDescent="0.3"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5"/>
      <c r="AL359" s="15"/>
      <c r="AM359" s="15"/>
      <c r="AN359" s="15"/>
      <c r="AO359" s="15"/>
      <c r="AP359" s="15"/>
      <c r="AQ359" s="15"/>
    </row>
    <row r="360" spans="23:43" x14ac:dyDescent="0.3"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5"/>
      <c r="AL360" s="15"/>
      <c r="AM360" s="15"/>
      <c r="AN360" s="15"/>
      <c r="AO360" s="15"/>
      <c r="AP360" s="15"/>
      <c r="AQ360" s="15"/>
    </row>
    <row r="361" spans="23:43" x14ac:dyDescent="0.3"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5"/>
      <c r="AL361" s="15"/>
      <c r="AM361" s="15"/>
      <c r="AN361" s="15"/>
      <c r="AO361" s="15"/>
      <c r="AP361" s="15"/>
      <c r="AQ361" s="15"/>
    </row>
    <row r="362" spans="23:43" x14ac:dyDescent="0.3"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5"/>
      <c r="AL362" s="15"/>
      <c r="AM362" s="15"/>
      <c r="AN362" s="15"/>
      <c r="AO362" s="15"/>
      <c r="AP362" s="15"/>
      <c r="AQ362" s="15"/>
    </row>
    <row r="363" spans="23:43" x14ac:dyDescent="0.3"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5"/>
      <c r="AL363" s="15"/>
      <c r="AM363" s="15"/>
      <c r="AN363" s="15"/>
      <c r="AO363" s="15"/>
      <c r="AP363" s="15"/>
      <c r="AQ363" s="15"/>
    </row>
    <row r="364" spans="23:43" x14ac:dyDescent="0.3"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5"/>
      <c r="AL364" s="15"/>
      <c r="AM364" s="15"/>
      <c r="AN364" s="15"/>
      <c r="AO364" s="15"/>
      <c r="AP364" s="15"/>
      <c r="AQ364" s="15"/>
    </row>
    <row r="365" spans="23:43" x14ac:dyDescent="0.3"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5"/>
      <c r="AL365" s="15"/>
      <c r="AM365" s="15"/>
      <c r="AN365" s="15"/>
      <c r="AO365" s="15"/>
      <c r="AP365" s="15"/>
      <c r="AQ365" s="15"/>
    </row>
    <row r="366" spans="23:43" x14ac:dyDescent="0.3"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5"/>
      <c r="AL366" s="15"/>
      <c r="AM366" s="15"/>
      <c r="AN366" s="15"/>
      <c r="AO366" s="15"/>
      <c r="AP366" s="15"/>
      <c r="AQ366" s="15"/>
    </row>
    <row r="367" spans="23:43" x14ac:dyDescent="0.3"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5"/>
      <c r="AL367" s="15"/>
      <c r="AM367" s="15"/>
      <c r="AN367" s="15"/>
      <c r="AO367" s="15"/>
      <c r="AP367" s="15"/>
      <c r="AQ367" s="15"/>
    </row>
    <row r="368" spans="23:43" x14ac:dyDescent="0.3"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5"/>
      <c r="AL368" s="15"/>
      <c r="AM368" s="15"/>
      <c r="AN368" s="15"/>
      <c r="AO368" s="15"/>
      <c r="AP368" s="15"/>
      <c r="AQ368" s="15"/>
    </row>
    <row r="369" spans="23:43" x14ac:dyDescent="0.3"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5"/>
      <c r="AL369" s="15"/>
      <c r="AM369" s="15"/>
      <c r="AN369" s="15"/>
      <c r="AO369" s="15"/>
      <c r="AP369" s="15"/>
      <c r="AQ369" s="15"/>
    </row>
    <row r="370" spans="23:43" x14ac:dyDescent="0.3"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5"/>
      <c r="AL370" s="15"/>
      <c r="AM370" s="15"/>
      <c r="AN370" s="15"/>
      <c r="AO370" s="15"/>
      <c r="AP370" s="15"/>
      <c r="AQ370" s="15"/>
    </row>
    <row r="371" spans="23:43" x14ac:dyDescent="0.3"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5"/>
      <c r="AL371" s="15"/>
      <c r="AM371" s="15"/>
      <c r="AN371" s="15"/>
      <c r="AO371" s="15"/>
      <c r="AP371" s="15"/>
      <c r="AQ371" s="15"/>
    </row>
    <row r="372" spans="23:43" x14ac:dyDescent="0.3"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5"/>
      <c r="AL372" s="15"/>
      <c r="AM372" s="15"/>
      <c r="AN372" s="15"/>
      <c r="AO372" s="15"/>
      <c r="AP372" s="15"/>
      <c r="AQ372" s="15"/>
    </row>
    <row r="373" spans="23:43" x14ac:dyDescent="0.3"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5"/>
      <c r="AL373" s="15"/>
      <c r="AM373" s="15"/>
      <c r="AN373" s="15"/>
      <c r="AO373" s="15"/>
      <c r="AP373" s="15"/>
      <c r="AQ373" s="15"/>
    </row>
    <row r="374" spans="23:43" x14ac:dyDescent="0.3"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5"/>
      <c r="AL374" s="15"/>
      <c r="AM374" s="15"/>
      <c r="AN374" s="15"/>
      <c r="AO374" s="15"/>
      <c r="AP374" s="15"/>
      <c r="AQ374" s="15"/>
    </row>
    <row r="375" spans="23:43" x14ac:dyDescent="0.3"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5"/>
      <c r="AL375" s="15"/>
      <c r="AM375" s="15"/>
      <c r="AN375" s="15"/>
      <c r="AO375" s="15"/>
      <c r="AP375" s="15"/>
      <c r="AQ375" s="15"/>
    </row>
    <row r="376" spans="23:43" x14ac:dyDescent="0.3"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5"/>
      <c r="AL376" s="15"/>
      <c r="AM376" s="15"/>
      <c r="AN376" s="15"/>
      <c r="AO376" s="15"/>
      <c r="AP376" s="15"/>
      <c r="AQ376" s="15"/>
    </row>
    <row r="377" spans="23:43" x14ac:dyDescent="0.3"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5"/>
      <c r="AL377" s="15"/>
      <c r="AM377" s="15"/>
      <c r="AN377" s="15"/>
      <c r="AO377" s="15"/>
      <c r="AP377" s="15"/>
      <c r="AQ377" s="15"/>
    </row>
    <row r="378" spans="23:43" x14ac:dyDescent="0.3"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5"/>
      <c r="AL378" s="15"/>
      <c r="AM378" s="15"/>
      <c r="AN378" s="15"/>
      <c r="AO378" s="15"/>
      <c r="AP378" s="15"/>
      <c r="AQ378" s="15"/>
    </row>
    <row r="379" spans="23:43" x14ac:dyDescent="0.3"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5"/>
      <c r="AL379" s="15"/>
      <c r="AM379" s="15"/>
      <c r="AN379" s="15"/>
      <c r="AO379" s="15"/>
      <c r="AP379" s="15"/>
      <c r="AQ379" s="15"/>
    </row>
    <row r="380" spans="23:43" x14ac:dyDescent="0.3"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5"/>
      <c r="AL380" s="15"/>
      <c r="AM380" s="15"/>
      <c r="AN380" s="15"/>
      <c r="AO380" s="15"/>
      <c r="AP380" s="15"/>
      <c r="AQ380" s="15"/>
    </row>
    <row r="381" spans="23:43" x14ac:dyDescent="0.3"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5"/>
      <c r="AL381" s="15"/>
      <c r="AM381" s="15"/>
      <c r="AN381" s="15"/>
      <c r="AO381" s="15"/>
      <c r="AP381" s="15"/>
      <c r="AQ381" s="15"/>
    </row>
    <row r="382" spans="23:43" x14ac:dyDescent="0.3"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5"/>
      <c r="AL382" s="15"/>
      <c r="AM382" s="15"/>
      <c r="AN382" s="15"/>
      <c r="AO382" s="15"/>
      <c r="AP382" s="15"/>
      <c r="AQ382" s="15"/>
    </row>
    <row r="383" spans="23:43" x14ac:dyDescent="0.3"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5"/>
      <c r="AL383" s="15"/>
      <c r="AM383" s="15"/>
      <c r="AN383" s="15"/>
      <c r="AO383" s="15"/>
      <c r="AP383" s="15"/>
      <c r="AQ383" s="15"/>
    </row>
    <row r="384" spans="23:43" x14ac:dyDescent="0.3"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5"/>
      <c r="AL384" s="15"/>
      <c r="AM384" s="15"/>
      <c r="AN384" s="15"/>
      <c r="AO384" s="15"/>
      <c r="AP384" s="15"/>
      <c r="AQ384" s="15"/>
    </row>
    <row r="385" spans="23:43" x14ac:dyDescent="0.3"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5"/>
      <c r="AL385" s="15"/>
      <c r="AM385" s="15"/>
      <c r="AN385" s="15"/>
      <c r="AO385" s="15"/>
      <c r="AP385" s="15"/>
      <c r="AQ385" s="15"/>
    </row>
    <row r="386" spans="23:43" x14ac:dyDescent="0.3"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5"/>
      <c r="AL386" s="15"/>
      <c r="AM386" s="15"/>
      <c r="AN386" s="15"/>
      <c r="AO386" s="15"/>
      <c r="AP386" s="15"/>
      <c r="AQ386" s="15"/>
    </row>
    <row r="387" spans="23:43" x14ac:dyDescent="0.3"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5"/>
      <c r="AL387" s="15"/>
      <c r="AM387" s="15"/>
      <c r="AN387" s="15"/>
      <c r="AO387" s="15"/>
      <c r="AP387" s="15"/>
      <c r="AQ387" s="15"/>
    </row>
    <row r="388" spans="23:43" x14ac:dyDescent="0.3"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5"/>
      <c r="AL388" s="15"/>
      <c r="AM388" s="15"/>
      <c r="AN388" s="15"/>
      <c r="AO388" s="15"/>
      <c r="AP388" s="15"/>
      <c r="AQ388" s="15"/>
    </row>
    <row r="389" spans="23:43" x14ac:dyDescent="0.3"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5"/>
      <c r="AL389" s="15"/>
      <c r="AM389" s="15"/>
      <c r="AN389" s="15"/>
      <c r="AO389" s="15"/>
      <c r="AP389" s="15"/>
      <c r="AQ389" s="15"/>
    </row>
    <row r="390" spans="23:43" x14ac:dyDescent="0.3"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5"/>
      <c r="AL390" s="15"/>
      <c r="AM390" s="15"/>
      <c r="AN390" s="15"/>
      <c r="AO390" s="15"/>
      <c r="AP390" s="15"/>
      <c r="AQ390" s="15"/>
    </row>
    <row r="391" spans="23:43" x14ac:dyDescent="0.3"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5"/>
      <c r="AL391" s="15"/>
      <c r="AM391" s="15"/>
      <c r="AN391" s="15"/>
      <c r="AO391" s="15"/>
      <c r="AP391" s="15"/>
      <c r="AQ391" s="15"/>
    </row>
    <row r="392" spans="23:43" x14ac:dyDescent="0.3"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5"/>
      <c r="AL392" s="15"/>
      <c r="AM392" s="15"/>
      <c r="AN392" s="15"/>
      <c r="AO392" s="15"/>
      <c r="AP392" s="15"/>
      <c r="AQ392" s="15"/>
    </row>
    <row r="393" spans="23:43" x14ac:dyDescent="0.3"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5"/>
      <c r="AL393" s="15"/>
      <c r="AM393" s="15"/>
      <c r="AN393" s="15"/>
      <c r="AO393" s="15"/>
      <c r="AP393" s="15"/>
      <c r="AQ393" s="15"/>
    </row>
    <row r="394" spans="23:43" x14ac:dyDescent="0.3"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5"/>
      <c r="AL394" s="15"/>
      <c r="AM394" s="15"/>
      <c r="AN394" s="15"/>
      <c r="AO394" s="15"/>
      <c r="AP394" s="15"/>
      <c r="AQ394" s="15"/>
    </row>
    <row r="395" spans="23:43" x14ac:dyDescent="0.3"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5"/>
      <c r="AL395" s="15"/>
      <c r="AM395" s="15"/>
      <c r="AN395" s="15"/>
      <c r="AO395" s="15"/>
      <c r="AP395" s="15"/>
      <c r="AQ395" s="15"/>
    </row>
    <row r="396" spans="23:43" x14ac:dyDescent="0.3"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5"/>
      <c r="AL396" s="15"/>
      <c r="AM396" s="15"/>
      <c r="AN396" s="15"/>
      <c r="AO396" s="15"/>
      <c r="AP396" s="15"/>
      <c r="AQ396" s="15"/>
    </row>
    <row r="397" spans="23:43" x14ac:dyDescent="0.3"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5"/>
      <c r="AL397" s="15"/>
      <c r="AM397" s="15"/>
      <c r="AN397" s="15"/>
      <c r="AO397" s="15"/>
      <c r="AP397" s="15"/>
      <c r="AQ397" s="15"/>
    </row>
    <row r="398" spans="23:43" x14ac:dyDescent="0.3"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5"/>
      <c r="AL398" s="15"/>
      <c r="AM398" s="15"/>
      <c r="AN398" s="15"/>
      <c r="AO398" s="15"/>
      <c r="AP398" s="15"/>
      <c r="AQ398" s="15"/>
    </row>
    <row r="399" spans="23:43" x14ac:dyDescent="0.3"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5"/>
      <c r="AL399" s="15"/>
      <c r="AM399" s="15"/>
      <c r="AN399" s="15"/>
      <c r="AO399" s="15"/>
      <c r="AP399" s="15"/>
      <c r="AQ399" s="15"/>
    </row>
    <row r="400" spans="23:43" x14ac:dyDescent="0.3"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5"/>
      <c r="AL400" s="15"/>
      <c r="AM400" s="15"/>
      <c r="AN400" s="15"/>
      <c r="AO400" s="15"/>
      <c r="AP400" s="15"/>
      <c r="AQ400" s="15"/>
    </row>
    <row r="401" spans="23:43" x14ac:dyDescent="0.3"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5"/>
      <c r="AL401" s="15"/>
      <c r="AM401" s="15"/>
      <c r="AN401" s="15"/>
      <c r="AO401" s="15"/>
      <c r="AP401" s="15"/>
      <c r="AQ401" s="15"/>
    </row>
    <row r="402" spans="23:43" x14ac:dyDescent="0.3"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5"/>
      <c r="AL402" s="15"/>
      <c r="AM402" s="15"/>
      <c r="AN402" s="15"/>
      <c r="AO402" s="15"/>
      <c r="AP402" s="15"/>
      <c r="AQ402" s="15"/>
    </row>
    <row r="403" spans="23:43" x14ac:dyDescent="0.3"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5"/>
      <c r="AL403" s="15"/>
      <c r="AM403" s="15"/>
      <c r="AN403" s="15"/>
      <c r="AO403" s="15"/>
      <c r="AP403" s="15"/>
      <c r="AQ403" s="15"/>
    </row>
    <row r="404" spans="23:43" x14ac:dyDescent="0.3"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5"/>
      <c r="AL404" s="15"/>
      <c r="AM404" s="15"/>
      <c r="AN404" s="15"/>
      <c r="AO404" s="15"/>
      <c r="AP404" s="15"/>
      <c r="AQ404" s="15"/>
    </row>
    <row r="405" spans="23:43" x14ac:dyDescent="0.3"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5"/>
      <c r="AL405" s="15"/>
      <c r="AM405" s="15"/>
      <c r="AN405" s="15"/>
      <c r="AO405" s="15"/>
      <c r="AP405" s="15"/>
      <c r="AQ405" s="15"/>
    </row>
    <row r="406" spans="23:43" x14ac:dyDescent="0.3"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5"/>
      <c r="AL406" s="15"/>
      <c r="AM406" s="15"/>
      <c r="AN406" s="15"/>
      <c r="AO406" s="15"/>
      <c r="AP406" s="15"/>
      <c r="AQ406" s="15"/>
    </row>
    <row r="407" spans="23:43" x14ac:dyDescent="0.3"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5"/>
      <c r="AL407" s="15"/>
      <c r="AM407" s="15"/>
      <c r="AN407" s="15"/>
      <c r="AO407" s="15"/>
      <c r="AP407" s="15"/>
      <c r="AQ407" s="15"/>
    </row>
    <row r="408" spans="23:43" x14ac:dyDescent="0.3"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5"/>
      <c r="AL408" s="15"/>
      <c r="AM408" s="15"/>
      <c r="AN408" s="15"/>
      <c r="AO408" s="15"/>
      <c r="AP408" s="15"/>
      <c r="AQ408" s="15"/>
    </row>
    <row r="409" spans="23:43" x14ac:dyDescent="0.3"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5"/>
      <c r="AL409" s="15"/>
      <c r="AM409" s="15"/>
      <c r="AN409" s="15"/>
      <c r="AO409" s="15"/>
      <c r="AP409" s="15"/>
      <c r="AQ409" s="15"/>
    </row>
    <row r="410" spans="23:43" x14ac:dyDescent="0.3"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5"/>
      <c r="AL410" s="15"/>
      <c r="AM410" s="15"/>
      <c r="AN410" s="15"/>
      <c r="AO410" s="15"/>
      <c r="AP410" s="15"/>
      <c r="AQ410" s="15"/>
    </row>
    <row r="411" spans="23:43" x14ac:dyDescent="0.3"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5"/>
      <c r="AL411" s="15"/>
      <c r="AM411" s="15"/>
      <c r="AN411" s="15"/>
      <c r="AO411" s="15"/>
      <c r="AP411" s="15"/>
      <c r="AQ411" s="15"/>
    </row>
    <row r="412" spans="23:43" x14ac:dyDescent="0.3"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5"/>
      <c r="AL412" s="15"/>
      <c r="AM412" s="15"/>
      <c r="AN412" s="15"/>
      <c r="AO412" s="15"/>
      <c r="AP412" s="15"/>
      <c r="AQ412" s="15"/>
    </row>
    <row r="413" spans="23:43" x14ac:dyDescent="0.3"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5"/>
      <c r="AL413" s="15"/>
      <c r="AM413" s="15"/>
      <c r="AN413" s="15"/>
      <c r="AO413" s="15"/>
      <c r="AP413" s="15"/>
      <c r="AQ413" s="15"/>
    </row>
    <row r="414" spans="23:43" x14ac:dyDescent="0.3"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5"/>
      <c r="AL414" s="15"/>
      <c r="AM414" s="15"/>
      <c r="AN414" s="15"/>
      <c r="AO414" s="15"/>
      <c r="AP414" s="15"/>
      <c r="AQ414" s="15"/>
    </row>
    <row r="415" spans="23:43" x14ac:dyDescent="0.3"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5"/>
      <c r="AL415" s="15"/>
      <c r="AM415" s="15"/>
      <c r="AN415" s="15"/>
      <c r="AO415" s="15"/>
      <c r="AP415" s="15"/>
      <c r="AQ415" s="15"/>
    </row>
    <row r="416" spans="23:43" x14ac:dyDescent="0.3"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5"/>
      <c r="AL416" s="15"/>
      <c r="AM416" s="15"/>
      <c r="AN416" s="15"/>
      <c r="AO416" s="15"/>
      <c r="AP416" s="15"/>
      <c r="AQ416" s="15"/>
    </row>
    <row r="417" spans="23:43" x14ac:dyDescent="0.3"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5"/>
      <c r="AL417" s="15"/>
      <c r="AM417" s="15"/>
      <c r="AN417" s="15"/>
      <c r="AO417" s="15"/>
      <c r="AP417" s="15"/>
      <c r="AQ417" s="15"/>
    </row>
    <row r="418" spans="23:43" x14ac:dyDescent="0.3"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5"/>
      <c r="AL418" s="15"/>
      <c r="AM418" s="15"/>
      <c r="AN418" s="15"/>
      <c r="AO418" s="15"/>
      <c r="AP418" s="15"/>
      <c r="AQ418" s="15"/>
    </row>
    <row r="419" spans="23:43" x14ac:dyDescent="0.3"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5"/>
      <c r="AL419" s="15"/>
      <c r="AM419" s="15"/>
      <c r="AN419" s="15"/>
      <c r="AO419" s="15"/>
      <c r="AP419" s="15"/>
      <c r="AQ419" s="15"/>
    </row>
    <row r="420" spans="23:43" x14ac:dyDescent="0.3"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5"/>
      <c r="AL420" s="15"/>
      <c r="AM420" s="15"/>
      <c r="AN420" s="15"/>
      <c r="AO420" s="15"/>
      <c r="AP420" s="15"/>
      <c r="AQ420" s="15"/>
    </row>
    <row r="421" spans="23:43" x14ac:dyDescent="0.3"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5"/>
      <c r="AL421" s="15"/>
      <c r="AM421" s="15"/>
      <c r="AN421" s="15"/>
      <c r="AO421" s="15"/>
      <c r="AP421" s="15"/>
      <c r="AQ421" s="15"/>
    </row>
    <row r="422" spans="23:43" x14ac:dyDescent="0.3"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5"/>
      <c r="AL422" s="15"/>
      <c r="AM422" s="15"/>
      <c r="AN422" s="15"/>
      <c r="AO422" s="15"/>
      <c r="AP422" s="15"/>
      <c r="AQ422" s="15"/>
    </row>
    <row r="423" spans="23:43" x14ac:dyDescent="0.3"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5"/>
      <c r="AL423" s="15"/>
      <c r="AM423" s="15"/>
      <c r="AN423" s="15"/>
      <c r="AO423" s="15"/>
      <c r="AP423" s="15"/>
      <c r="AQ423" s="15"/>
    </row>
    <row r="424" spans="23:43" x14ac:dyDescent="0.3"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5"/>
      <c r="AL424" s="15"/>
      <c r="AM424" s="15"/>
      <c r="AN424" s="15"/>
      <c r="AO424" s="15"/>
      <c r="AP424" s="15"/>
      <c r="AQ424" s="15"/>
    </row>
    <row r="425" spans="23:43" x14ac:dyDescent="0.3"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5"/>
      <c r="AL425" s="15"/>
      <c r="AM425" s="15"/>
      <c r="AN425" s="15"/>
      <c r="AO425" s="15"/>
      <c r="AP425" s="15"/>
      <c r="AQ425" s="15"/>
    </row>
    <row r="426" spans="23:43" x14ac:dyDescent="0.3"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5"/>
      <c r="AL426" s="15"/>
      <c r="AM426" s="15"/>
      <c r="AN426" s="15"/>
      <c r="AO426" s="15"/>
      <c r="AP426" s="15"/>
      <c r="AQ426" s="15"/>
    </row>
    <row r="427" spans="23:43" x14ac:dyDescent="0.3"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5"/>
      <c r="AL427" s="15"/>
      <c r="AM427" s="15"/>
      <c r="AN427" s="15"/>
      <c r="AO427" s="15"/>
      <c r="AP427" s="15"/>
      <c r="AQ427" s="15"/>
    </row>
    <row r="428" spans="23:43" x14ac:dyDescent="0.3"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5"/>
      <c r="AL428" s="15"/>
      <c r="AM428" s="15"/>
      <c r="AN428" s="15"/>
      <c r="AO428" s="15"/>
      <c r="AP428" s="15"/>
      <c r="AQ428" s="15"/>
    </row>
    <row r="429" spans="23:43" x14ac:dyDescent="0.3"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5"/>
      <c r="AL429" s="15"/>
      <c r="AM429" s="15"/>
      <c r="AN429" s="15"/>
      <c r="AO429" s="15"/>
      <c r="AP429" s="15"/>
      <c r="AQ429" s="15"/>
    </row>
    <row r="430" spans="23:43" x14ac:dyDescent="0.3"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5"/>
      <c r="AL430" s="15"/>
      <c r="AM430" s="15"/>
      <c r="AN430" s="15"/>
      <c r="AO430" s="15"/>
      <c r="AP430" s="15"/>
      <c r="AQ430" s="15"/>
    </row>
    <row r="431" spans="23:43" x14ac:dyDescent="0.3"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5"/>
      <c r="AL431" s="15"/>
      <c r="AM431" s="15"/>
      <c r="AN431" s="15"/>
      <c r="AO431" s="15"/>
      <c r="AP431" s="15"/>
      <c r="AQ431" s="15"/>
    </row>
    <row r="432" spans="23:43" x14ac:dyDescent="0.3"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5"/>
      <c r="AL432" s="15"/>
      <c r="AM432" s="15"/>
      <c r="AN432" s="15"/>
      <c r="AO432" s="15"/>
      <c r="AP432" s="15"/>
      <c r="AQ432" s="15"/>
    </row>
    <row r="433" spans="23:43" x14ac:dyDescent="0.3"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5"/>
      <c r="AL433" s="15"/>
      <c r="AM433" s="15"/>
      <c r="AN433" s="15"/>
      <c r="AO433" s="15"/>
      <c r="AP433" s="15"/>
      <c r="AQ433" s="15"/>
    </row>
    <row r="434" spans="23:43" x14ac:dyDescent="0.3"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5"/>
      <c r="AL434" s="15"/>
      <c r="AM434" s="15"/>
      <c r="AN434" s="15"/>
      <c r="AO434" s="15"/>
      <c r="AP434" s="15"/>
      <c r="AQ434" s="15"/>
    </row>
    <row r="435" spans="23:43" x14ac:dyDescent="0.3"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5"/>
      <c r="AL435" s="15"/>
      <c r="AM435" s="15"/>
      <c r="AN435" s="15"/>
      <c r="AO435" s="15"/>
      <c r="AP435" s="15"/>
      <c r="AQ435" s="15"/>
    </row>
    <row r="436" spans="23:43" x14ac:dyDescent="0.3"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5"/>
      <c r="AL436" s="15"/>
      <c r="AM436" s="15"/>
      <c r="AN436" s="15"/>
      <c r="AO436" s="15"/>
      <c r="AP436" s="15"/>
      <c r="AQ436" s="15"/>
    </row>
    <row r="437" spans="23:43" x14ac:dyDescent="0.3"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5"/>
      <c r="AL437" s="15"/>
      <c r="AM437" s="15"/>
      <c r="AN437" s="15"/>
      <c r="AO437" s="15"/>
      <c r="AP437" s="15"/>
      <c r="AQ437" s="15"/>
    </row>
    <row r="438" spans="23:43" x14ac:dyDescent="0.3"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5"/>
      <c r="AL438" s="15"/>
      <c r="AM438" s="15"/>
      <c r="AN438" s="15"/>
      <c r="AO438" s="15"/>
      <c r="AP438" s="15"/>
      <c r="AQ438" s="15"/>
    </row>
    <row r="439" spans="23:43" x14ac:dyDescent="0.3"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5"/>
      <c r="AL439" s="15"/>
      <c r="AM439" s="15"/>
      <c r="AN439" s="15"/>
      <c r="AO439" s="15"/>
      <c r="AP439" s="15"/>
      <c r="AQ439" s="15"/>
    </row>
    <row r="440" spans="23:43" x14ac:dyDescent="0.3"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5"/>
      <c r="AL440" s="15"/>
      <c r="AM440" s="15"/>
      <c r="AN440" s="15"/>
      <c r="AO440" s="15"/>
      <c r="AP440" s="15"/>
      <c r="AQ440" s="15"/>
    </row>
    <row r="441" spans="23:43" x14ac:dyDescent="0.3"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5"/>
      <c r="AL441" s="15"/>
      <c r="AM441" s="15"/>
      <c r="AN441" s="15"/>
      <c r="AO441" s="15"/>
      <c r="AP441" s="15"/>
      <c r="AQ441" s="15"/>
    </row>
    <row r="442" spans="23:43" x14ac:dyDescent="0.3"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5"/>
      <c r="AL442" s="15"/>
      <c r="AM442" s="15"/>
      <c r="AN442" s="15"/>
      <c r="AO442" s="15"/>
      <c r="AP442" s="15"/>
      <c r="AQ442" s="15"/>
    </row>
    <row r="443" spans="23:43" x14ac:dyDescent="0.3"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5"/>
      <c r="AL443" s="15"/>
      <c r="AM443" s="15"/>
      <c r="AN443" s="15"/>
      <c r="AO443" s="15"/>
      <c r="AP443" s="15"/>
      <c r="AQ443" s="15"/>
    </row>
    <row r="444" spans="23:43" x14ac:dyDescent="0.3"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5"/>
      <c r="AL444" s="15"/>
      <c r="AM444" s="15"/>
      <c r="AN444" s="15"/>
      <c r="AO444" s="15"/>
      <c r="AP444" s="15"/>
      <c r="AQ444" s="15"/>
    </row>
    <row r="445" spans="23:43" x14ac:dyDescent="0.3"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5"/>
      <c r="AL445" s="15"/>
      <c r="AM445" s="15"/>
      <c r="AN445" s="15"/>
      <c r="AO445" s="15"/>
      <c r="AP445" s="15"/>
      <c r="AQ445" s="15"/>
    </row>
    <row r="446" spans="23:43" x14ac:dyDescent="0.3"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5"/>
      <c r="AL446" s="15"/>
      <c r="AM446" s="15"/>
      <c r="AN446" s="15"/>
      <c r="AO446" s="15"/>
      <c r="AP446" s="15"/>
      <c r="AQ446" s="15"/>
    </row>
    <row r="447" spans="23:43" x14ac:dyDescent="0.3"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5"/>
      <c r="AL447" s="15"/>
      <c r="AM447" s="15"/>
      <c r="AN447" s="15"/>
      <c r="AO447" s="15"/>
      <c r="AP447" s="15"/>
      <c r="AQ447" s="15"/>
    </row>
    <row r="448" spans="23:43" x14ac:dyDescent="0.3"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5"/>
      <c r="AL448" s="15"/>
      <c r="AM448" s="15"/>
      <c r="AN448" s="15"/>
      <c r="AO448" s="15"/>
      <c r="AP448" s="15"/>
      <c r="AQ448" s="15"/>
    </row>
    <row r="449" spans="23:43" x14ac:dyDescent="0.3"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5"/>
      <c r="AL449" s="15"/>
      <c r="AM449" s="15"/>
      <c r="AN449" s="15"/>
      <c r="AO449" s="15"/>
      <c r="AP449" s="15"/>
      <c r="AQ449" s="15"/>
    </row>
    <row r="450" spans="23:43" x14ac:dyDescent="0.3"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5"/>
      <c r="AL450" s="15"/>
      <c r="AM450" s="15"/>
      <c r="AN450" s="15"/>
      <c r="AO450" s="15"/>
      <c r="AP450" s="15"/>
      <c r="AQ450" s="15"/>
    </row>
    <row r="451" spans="23:43" x14ac:dyDescent="0.3"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5"/>
      <c r="AL451" s="15"/>
      <c r="AM451" s="15"/>
      <c r="AN451" s="15"/>
      <c r="AO451" s="15"/>
      <c r="AP451" s="15"/>
      <c r="AQ451" s="15"/>
    </row>
    <row r="452" spans="23:43" x14ac:dyDescent="0.3"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5"/>
      <c r="AL452" s="15"/>
      <c r="AM452" s="15"/>
      <c r="AN452" s="15"/>
      <c r="AO452" s="15"/>
      <c r="AP452" s="15"/>
      <c r="AQ452" s="15"/>
    </row>
    <row r="453" spans="23:43" x14ac:dyDescent="0.3"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5"/>
      <c r="AL453" s="15"/>
      <c r="AM453" s="15"/>
      <c r="AN453" s="15"/>
      <c r="AO453" s="15"/>
      <c r="AP453" s="15"/>
      <c r="AQ453" s="15"/>
    </row>
    <row r="454" spans="23:43" x14ac:dyDescent="0.3"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5"/>
      <c r="AL454" s="15"/>
      <c r="AM454" s="15"/>
      <c r="AN454" s="15"/>
      <c r="AO454" s="15"/>
      <c r="AP454" s="15"/>
      <c r="AQ454" s="15"/>
    </row>
    <row r="455" spans="23:43" x14ac:dyDescent="0.3"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5"/>
      <c r="AL455" s="15"/>
      <c r="AM455" s="15"/>
      <c r="AN455" s="15"/>
      <c r="AO455" s="15"/>
      <c r="AP455" s="15"/>
      <c r="AQ455" s="15"/>
    </row>
    <row r="456" spans="23:43" x14ac:dyDescent="0.3"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5"/>
      <c r="AL456" s="15"/>
      <c r="AM456" s="15"/>
      <c r="AN456" s="15"/>
      <c r="AO456" s="15"/>
      <c r="AP456" s="15"/>
      <c r="AQ456" s="15"/>
    </row>
    <row r="457" spans="23:43" x14ac:dyDescent="0.3"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5"/>
      <c r="AL457" s="15"/>
      <c r="AM457" s="15"/>
      <c r="AN457" s="15"/>
      <c r="AO457" s="15"/>
      <c r="AP457" s="15"/>
      <c r="AQ457" s="15"/>
    </row>
    <row r="458" spans="23:43" x14ac:dyDescent="0.3"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5"/>
      <c r="AL458" s="15"/>
      <c r="AM458" s="15"/>
      <c r="AN458" s="15"/>
      <c r="AO458" s="15"/>
      <c r="AP458" s="15"/>
      <c r="AQ458" s="15"/>
    </row>
    <row r="459" spans="23:43" x14ac:dyDescent="0.3"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5"/>
      <c r="AL459" s="15"/>
      <c r="AM459" s="15"/>
      <c r="AN459" s="15"/>
      <c r="AO459" s="15"/>
      <c r="AP459" s="15"/>
      <c r="AQ459" s="15"/>
    </row>
    <row r="460" spans="23:43" x14ac:dyDescent="0.3"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5"/>
      <c r="AL460" s="15"/>
      <c r="AM460" s="15"/>
      <c r="AN460" s="15"/>
      <c r="AO460" s="15"/>
      <c r="AP460" s="15"/>
      <c r="AQ460" s="15"/>
    </row>
    <row r="461" spans="23:43" x14ac:dyDescent="0.3"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5"/>
      <c r="AL461" s="15"/>
      <c r="AM461" s="15"/>
      <c r="AN461" s="15"/>
      <c r="AO461" s="15"/>
      <c r="AP461" s="15"/>
      <c r="AQ461" s="15"/>
    </row>
    <row r="462" spans="23:43" x14ac:dyDescent="0.3"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5"/>
      <c r="AL462" s="15"/>
      <c r="AM462" s="15"/>
      <c r="AN462" s="15"/>
      <c r="AO462" s="15"/>
      <c r="AP462" s="15"/>
      <c r="AQ462" s="15"/>
    </row>
    <row r="463" spans="23:43" x14ac:dyDescent="0.3"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5"/>
      <c r="AL463" s="15"/>
      <c r="AM463" s="15"/>
      <c r="AN463" s="15"/>
      <c r="AO463" s="15"/>
      <c r="AP463" s="15"/>
      <c r="AQ463" s="15"/>
    </row>
    <row r="464" spans="23:43" x14ac:dyDescent="0.3"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5"/>
      <c r="AL464" s="15"/>
      <c r="AM464" s="15"/>
      <c r="AN464" s="15"/>
      <c r="AO464" s="15"/>
      <c r="AP464" s="15"/>
      <c r="AQ464" s="15"/>
    </row>
    <row r="465" spans="23:43" x14ac:dyDescent="0.3"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5"/>
      <c r="AL465" s="15"/>
      <c r="AM465" s="15"/>
      <c r="AN465" s="15"/>
      <c r="AO465" s="15"/>
      <c r="AP465" s="15"/>
      <c r="AQ465" s="15"/>
    </row>
    <row r="466" spans="23:43" x14ac:dyDescent="0.3"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5"/>
      <c r="AL466" s="15"/>
      <c r="AM466" s="15"/>
      <c r="AN466" s="15"/>
      <c r="AO466" s="15"/>
      <c r="AP466" s="15"/>
      <c r="AQ466" s="15"/>
    </row>
    <row r="467" spans="23:43" x14ac:dyDescent="0.3"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5"/>
      <c r="AL467" s="15"/>
      <c r="AM467" s="15"/>
      <c r="AN467" s="15"/>
      <c r="AO467" s="15"/>
      <c r="AP467" s="15"/>
      <c r="AQ467" s="15"/>
    </row>
    <row r="468" spans="23:43" x14ac:dyDescent="0.3"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5"/>
      <c r="AL468" s="15"/>
      <c r="AM468" s="15"/>
      <c r="AN468" s="15"/>
      <c r="AO468" s="15"/>
      <c r="AP468" s="15"/>
      <c r="AQ468" s="15"/>
    </row>
    <row r="469" spans="23:43" x14ac:dyDescent="0.3"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5"/>
      <c r="AL469" s="15"/>
      <c r="AM469" s="15"/>
      <c r="AN469" s="15"/>
      <c r="AO469" s="15"/>
      <c r="AP469" s="15"/>
      <c r="AQ469" s="15"/>
    </row>
    <row r="470" spans="23:43" x14ac:dyDescent="0.3"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5"/>
      <c r="AL470" s="15"/>
      <c r="AM470" s="15"/>
      <c r="AN470" s="15"/>
      <c r="AO470" s="15"/>
      <c r="AP470" s="15"/>
      <c r="AQ470" s="15"/>
    </row>
    <row r="471" spans="23:43" x14ac:dyDescent="0.3"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5"/>
      <c r="AL471" s="15"/>
      <c r="AM471" s="15"/>
      <c r="AN471" s="15"/>
      <c r="AO471" s="15"/>
      <c r="AP471" s="15"/>
      <c r="AQ471" s="15"/>
    </row>
    <row r="472" spans="23:43" x14ac:dyDescent="0.3"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5"/>
      <c r="AL472" s="15"/>
      <c r="AM472" s="15"/>
      <c r="AN472" s="15"/>
      <c r="AO472" s="15"/>
      <c r="AP472" s="15"/>
      <c r="AQ472" s="15"/>
    </row>
    <row r="473" spans="23:43" x14ac:dyDescent="0.3"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5"/>
      <c r="AL473" s="15"/>
      <c r="AM473" s="15"/>
      <c r="AN473" s="15"/>
      <c r="AO473" s="15"/>
      <c r="AP473" s="15"/>
      <c r="AQ473" s="15"/>
    </row>
    <row r="474" spans="23:43" x14ac:dyDescent="0.3"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5"/>
      <c r="AL474" s="15"/>
      <c r="AM474" s="15"/>
      <c r="AN474" s="15"/>
      <c r="AO474" s="15"/>
      <c r="AP474" s="15"/>
      <c r="AQ474" s="15"/>
    </row>
    <row r="475" spans="23:43" x14ac:dyDescent="0.3"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5"/>
      <c r="AL475" s="15"/>
      <c r="AM475" s="15"/>
      <c r="AN475" s="15"/>
      <c r="AO475" s="15"/>
      <c r="AP475" s="15"/>
      <c r="AQ475" s="15"/>
    </row>
    <row r="476" spans="23:43" x14ac:dyDescent="0.3"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5"/>
      <c r="AL476" s="15"/>
      <c r="AM476" s="15"/>
      <c r="AN476" s="15"/>
      <c r="AO476" s="15"/>
      <c r="AP476" s="15"/>
      <c r="AQ476" s="15"/>
    </row>
    <row r="477" spans="23:43" x14ac:dyDescent="0.3"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5"/>
      <c r="AL477" s="15"/>
      <c r="AM477" s="15"/>
      <c r="AN477" s="15"/>
      <c r="AO477" s="15"/>
      <c r="AP477" s="15"/>
      <c r="AQ477" s="15"/>
    </row>
    <row r="478" spans="23:43" x14ac:dyDescent="0.3"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5"/>
      <c r="AL478" s="15"/>
      <c r="AM478" s="15"/>
      <c r="AN478" s="15"/>
      <c r="AO478" s="15"/>
      <c r="AP478" s="15"/>
      <c r="AQ478" s="15"/>
    </row>
    <row r="479" spans="23:43" x14ac:dyDescent="0.3"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5"/>
      <c r="AL479" s="15"/>
      <c r="AM479" s="15"/>
      <c r="AN479" s="15"/>
      <c r="AO479" s="15"/>
      <c r="AP479" s="15"/>
      <c r="AQ479" s="15"/>
    </row>
    <row r="480" spans="23:43" x14ac:dyDescent="0.3"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5"/>
      <c r="AL480" s="15"/>
      <c r="AM480" s="15"/>
      <c r="AN480" s="15"/>
      <c r="AO480" s="15"/>
      <c r="AP480" s="15"/>
      <c r="AQ480" s="15"/>
    </row>
    <row r="481" spans="23:43" x14ac:dyDescent="0.3"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5"/>
      <c r="AL481" s="15"/>
      <c r="AM481" s="15"/>
      <c r="AN481" s="15"/>
      <c r="AO481" s="15"/>
      <c r="AP481" s="15"/>
      <c r="AQ481" s="15"/>
    </row>
    <row r="482" spans="23:43" x14ac:dyDescent="0.3"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5"/>
      <c r="AL482" s="15"/>
      <c r="AM482" s="15"/>
      <c r="AN482" s="15"/>
      <c r="AO482" s="15"/>
      <c r="AP482" s="15"/>
      <c r="AQ482" s="15"/>
    </row>
    <row r="483" spans="23:43" x14ac:dyDescent="0.3"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5"/>
      <c r="AL483" s="15"/>
      <c r="AM483" s="15"/>
      <c r="AN483" s="15"/>
      <c r="AO483" s="15"/>
      <c r="AP483" s="15"/>
      <c r="AQ483" s="15"/>
    </row>
    <row r="484" spans="23:43" x14ac:dyDescent="0.3"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5"/>
      <c r="AL484" s="15"/>
      <c r="AM484" s="15"/>
      <c r="AN484" s="15"/>
      <c r="AO484" s="15"/>
      <c r="AP484" s="15"/>
      <c r="AQ484" s="15"/>
    </row>
    <row r="485" spans="23:43" x14ac:dyDescent="0.3"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5"/>
      <c r="AL485" s="15"/>
      <c r="AM485" s="15"/>
      <c r="AN485" s="15"/>
      <c r="AO485" s="15"/>
      <c r="AP485" s="15"/>
      <c r="AQ485" s="15"/>
    </row>
    <row r="486" spans="23:43" x14ac:dyDescent="0.3"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5"/>
      <c r="AL486" s="15"/>
      <c r="AM486" s="15"/>
      <c r="AN486" s="15"/>
      <c r="AO486" s="15"/>
      <c r="AP486" s="15"/>
      <c r="AQ486" s="15"/>
    </row>
    <row r="487" spans="23:43" x14ac:dyDescent="0.3"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5"/>
      <c r="AL487" s="15"/>
      <c r="AM487" s="15"/>
      <c r="AN487" s="15"/>
      <c r="AO487" s="15"/>
      <c r="AP487" s="15"/>
      <c r="AQ487" s="15"/>
    </row>
    <row r="488" spans="23:43" x14ac:dyDescent="0.3"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5"/>
      <c r="AL488" s="15"/>
      <c r="AM488" s="15"/>
      <c r="AN488" s="15"/>
      <c r="AO488" s="15"/>
      <c r="AP488" s="15"/>
      <c r="AQ488" s="15"/>
    </row>
    <row r="489" spans="23:43" x14ac:dyDescent="0.3"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5"/>
      <c r="AL489" s="15"/>
      <c r="AM489" s="15"/>
      <c r="AN489" s="15"/>
      <c r="AO489" s="15"/>
      <c r="AP489" s="15"/>
      <c r="AQ489" s="15"/>
    </row>
    <row r="490" spans="23:43" x14ac:dyDescent="0.3"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5"/>
      <c r="AL490" s="15"/>
      <c r="AM490" s="15"/>
      <c r="AN490" s="15"/>
      <c r="AO490" s="15"/>
      <c r="AP490" s="15"/>
      <c r="AQ490" s="15"/>
    </row>
    <row r="491" spans="23:43" x14ac:dyDescent="0.3"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5"/>
      <c r="AL491" s="15"/>
      <c r="AM491" s="15"/>
      <c r="AN491" s="15"/>
      <c r="AO491" s="15"/>
      <c r="AP491" s="15"/>
      <c r="AQ491" s="15"/>
    </row>
    <row r="492" spans="23:43" x14ac:dyDescent="0.3"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5"/>
      <c r="AL492" s="15"/>
      <c r="AM492" s="15"/>
      <c r="AN492" s="15"/>
      <c r="AO492" s="15"/>
      <c r="AP492" s="15"/>
      <c r="AQ492" s="15"/>
    </row>
    <row r="493" spans="23:43" x14ac:dyDescent="0.3"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5"/>
      <c r="AL493" s="15"/>
      <c r="AM493" s="15"/>
      <c r="AN493" s="15"/>
      <c r="AO493" s="15"/>
      <c r="AP493" s="15"/>
      <c r="AQ493" s="15"/>
    </row>
    <row r="494" spans="23:43" x14ac:dyDescent="0.3"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5"/>
      <c r="AL494" s="15"/>
      <c r="AM494" s="15"/>
      <c r="AN494" s="15"/>
      <c r="AO494" s="15"/>
      <c r="AP494" s="15"/>
      <c r="AQ494" s="15"/>
    </row>
    <row r="495" spans="23:43" x14ac:dyDescent="0.3"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5"/>
      <c r="AL495" s="15"/>
      <c r="AM495" s="15"/>
      <c r="AN495" s="15"/>
      <c r="AO495" s="15"/>
      <c r="AP495" s="15"/>
      <c r="AQ495" s="15"/>
    </row>
    <row r="496" spans="23:43" x14ac:dyDescent="0.3"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5"/>
      <c r="AL496" s="15"/>
      <c r="AM496" s="15"/>
      <c r="AN496" s="15"/>
      <c r="AO496" s="15"/>
      <c r="AP496" s="15"/>
      <c r="AQ496" s="15"/>
    </row>
    <row r="497" spans="23:43" x14ac:dyDescent="0.3"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5"/>
      <c r="AL497" s="15"/>
      <c r="AM497" s="15"/>
      <c r="AN497" s="15"/>
      <c r="AO497" s="15"/>
      <c r="AP497" s="15"/>
      <c r="AQ497" s="15"/>
    </row>
    <row r="498" spans="23:43" x14ac:dyDescent="0.3"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5"/>
      <c r="AL498" s="15"/>
      <c r="AM498" s="15"/>
      <c r="AN498" s="15"/>
      <c r="AO498" s="15"/>
      <c r="AP498" s="15"/>
      <c r="AQ498" s="15"/>
    </row>
    <row r="499" spans="23:43" x14ac:dyDescent="0.3"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5"/>
      <c r="AL499" s="15"/>
      <c r="AM499" s="15"/>
      <c r="AN499" s="15"/>
      <c r="AO499" s="15"/>
      <c r="AP499" s="15"/>
      <c r="AQ499" s="15"/>
    </row>
    <row r="500" spans="23:43" x14ac:dyDescent="0.3"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5"/>
      <c r="AL500" s="15"/>
      <c r="AM500" s="15"/>
      <c r="AN500" s="15"/>
      <c r="AO500" s="15"/>
      <c r="AP500" s="15"/>
      <c r="AQ500" s="15"/>
    </row>
    <row r="501" spans="23:43" x14ac:dyDescent="0.3"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5"/>
      <c r="AL501" s="15"/>
      <c r="AM501" s="15"/>
      <c r="AN501" s="15"/>
      <c r="AO501" s="15"/>
      <c r="AP501" s="15"/>
      <c r="AQ501" s="15"/>
    </row>
    <row r="502" spans="23:43" x14ac:dyDescent="0.3"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5"/>
      <c r="AL502" s="15"/>
      <c r="AM502" s="15"/>
      <c r="AN502" s="15"/>
      <c r="AO502" s="15"/>
      <c r="AP502" s="15"/>
      <c r="AQ502" s="15"/>
    </row>
    <row r="503" spans="23:43" x14ac:dyDescent="0.3"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5"/>
      <c r="AL503" s="15"/>
      <c r="AM503" s="15"/>
      <c r="AN503" s="15"/>
      <c r="AO503" s="15"/>
      <c r="AP503" s="15"/>
      <c r="AQ503" s="15"/>
    </row>
    <row r="504" spans="23:43" x14ac:dyDescent="0.3"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5"/>
      <c r="AL504" s="15"/>
      <c r="AM504" s="15"/>
      <c r="AN504" s="15"/>
      <c r="AO504" s="15"/>
      <c r="AP504" s="15"/>
      <c r="AQ504" s="15"/>
    </row>
    <row r="505" spans="23:43" x14ac:dyDescent="0.3"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5"/>
      <c r="AL505" s="15"/>
      <c r="AM505" s="15"/>
      <c r="AN505" s="15"/>
      <c r="AO505" s="15"/>
      <c r="AP505" s="15"/>
      <c r="AQ505" s="15"/>
    </row>
    <row r="506" spans="23:43" x14ac:dyDescent="0.3"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5"/>
      <c r="AL506" s="15"/>
      <c r="AM506" s="15"/>
      <c r="AN506" s="15"/>
      <c r="AO506" s="15"/>
      <c r="AP506" s="15"/>
      <c r="AQ506" s="15"/>
    </row>
    <row r="507" spans="23:43" x14ac:dyDescent="0.3"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5"/>
      <c r="AL507" s="15"/>
      <c r="AM507" s="15"/>
      <c r="AN507" s="15"/>
      <c r="AO507" s="15"/>
      <c r="AP507" s="15"/>
      <c r="AQ507" s="15"/>
    </row>
    <row r="508" spans="23:43" x14ac:dyDescent="0.3"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5"/>
      <c r="AL508" s="15"/>
      <c r="AM508" s="15"/>
      <c r="AN508" s="15"/>
      <c r="AO508" s="15"/>
      <c r="AP508" s="15"/>
      <c r="AQ508" s="15"/>
    </row>
    <row r="509" spans="23:43" x14ac:dyDescent="0.3"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5"/>
      <c r="AL509" s="15"/>
      <c r="AM509" s="15"/>
      <c r="AN509" s="15"/>
      <c r="AO509" s="15"/>
      <c r="AP509" s="15"/>
      <c r="AQ509" s="15"/>
    </row>
    <row r="510" spans="23:43" x14ac:dyDescent="0.3"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5"/>
      <c r="AL510" s="15"/>
      <c r="AM510" s="15"/>
      <c r="AN510" s="15"/>
      <c r="AO510" s="15"/>
      <c r="AP510" s="15"/>
      <c r="AQ510" s="15"/>
    </row>
    <row r="511" spans="23:43" x14ac:dyDescent="0.3"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5"/>
      <c r="AL511" s="15"/>
      <c r="AM511" s="15"/>
      <c r="AN511" s="15"/>
      <c r="AO511" s="15"/>
      <c r="AP511" s="15"/>
      <c r="AQ511" s="15"/>
    </row>
    <row r="512" spans="23:43" x14ac:dyDescent="0.3"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5"/>
      <c r="AL512" s="15"/>
      <c r="AM512" s="15"/>
      <c r="AN512" s="15"/>
      <c r="AO512" s="15"/>
      <c r="AP512" s="15"/>
      <c r="AQ512" s="15"/>
    </row>
    <row r="513" spans="23:43" x14ac:dyDescent="0.3"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5"/>
      <c r="AL513" s="15"/>
      <c r="AM513" s="15"/>
      <c r="AN513" s="15"/>
      <c r="AO513" s="15"/>
      <c r="AP513" s="15"/>
      <c r="AQ513" s="15"/>
    </row>
    <row r="514" spans="23:43" x14ac:dyDescent="0.3"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5"/>
      <c r="AL514" s="15"/>
      <c r="AM514" s="15"/>
      <c r="AN514" s="15"/>
      <c r="AO514" s="15"/>
      <c r="AP514" s="15"/>
      <c r="AQ514" s="15"/>
    </row>
    <row r="515" spans="23:43" x14ac:dyDescent="0.3"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5"/>
      <c r="AL515" s="15"/>
      <c r="AM515" s="15"/>
      <c r="AN515" s="15"/>
      <c r="AO515" s="15"/>
      <c r="AP515" s="15"/>
      <c r="AQ515" s="15"/>
    </row>
    <row r="516" spans="23:43" x14ac:dyDescent="0.3"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5"/>
      <c r="AL516" s="15"/>
      <c r="AM516" s="15"/>
      <c r="AN516" s="15"/>
      <c r="AO516" s="15"/>
      <c r="AP516" s="15"/>
      <c r="AQ516" s="15"/>
    </row>
    <row r="517" spans="23:43" x14ac:dyDescent="0.3"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5"/>
      <c r="AL517" s="15"/>
      <c r="AM517" s="15"/>
      <c r="AN517" s="15"/>
      <c r="AO517" s="15"/>
      <c r="AP517" s="15"/>
      <c r="AQ517" s="15"/>
    </row>
    <row r="518" spans="23:43" x14ac:dyDescent="0.3"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5"/>
      <c r="AL518" s="15"/>
      <c r="AM518" s="15"/>
      <c r="AN518" s="15"/>
      <c r="AO518" s="15"/>
      <c r="AP518" s="15"/>
      <c r="AQ518" s="15"/>
    </row>
    <row r="519" spans="23:43" x14ac:dyDescent="0.3"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5"/>
      <c r="AL519" s="15"/>
      <c r="AM519" s="15"/>
      <c r="AN519" s="15"/>
      <c r="AO519" s="15"/>
      <c r="AP519" s="15"/>
      <c r="AQ519" s="15"/>
    </row>
    <row r="520" spans="23:43" x14ac:dyDescent="0.3"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5"/>
      <c r="AL520" s="15"/>
      <c r="AM520" s="15"/>
      <c r="AN520" s="15"/>
      <c r="AO520" s="15"/>
      <c r="AP520" s="15"/>
      <c r="AQ520" s="15"/>
    </row>
    <row r="521" spans="23:43" x14ac:dyDescent="0.3"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5"/>
      <c r="AL521" s="15"/>
      <c r="AM521" s="15"/>
      <c r="AN521" s="15"/>
      <c r="AO521" s="15"/>
      <c r="AP521" s="15"/>
      <c r="AQ521" s="15"/>
    </row>
    <row r="522" spans="23:43" x14ac:dyDescent="0.3"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5"/>
      <c r="AL522" s="15"/>
      <c r="AM522" s="15"/>
      <c r="AN522" s="15"/>
      <c r="AO522" s="15"/>
      <c r="AP522" s="15"/>
      <c r="AQ522" s="15"/>
    </row>
    <row r="523" spans="23:43" x14ac:dyDescent="0.3"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5"/>
      <c r="AL523" s="15"/>
      <c r="AM523" s="15"/>
      <c r="AN523" s="15"/>
      <c r="AO523" s="15"/>
      <c r="AP523" s="15"/>
      <c r="AQ523" s="15"/>
    </row>
    <row r="524" spans="23:43" x14ac:dyDescent="0.3"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5"/>
      <c r="AL524" s="15"/>
      <c r="AM524" s="15"/>
      <c r="AN524" s="15"/>
      <c r="AO524" s="15"/>
      <c r="AP524" s="15"/>
      <c r="AQ524" s="15"/>
    </row>
    <row r="525" spans="23:43" x14ac:dyDescent="0.3"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5"/>
      <c r="AL525" s="15"/>
      <c r="AM525" s="15"/>
      <c r="AN525" s="15"/>
      <c r="AO525" s="15"/>
      <c r="AP525" s="15"/>
      <c r="AQ525" s="15"/>
    </row>
    <row r="526" spans="23:43" x14ac:dyDescent="0.3"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5"/>
      <c r="AL526" s="15"/>
      <c r="AM526" s="15"/>
      <c r="AN526" s="15"/>
      <c r="AO526" s="15"/>
      <c r="AP526" s="15"/>
      <c r="AQ526" s="15"/>
    </row>
    <row r="527" spans="23:43" x14ac:dyDescent="0.3"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5"/>
      <c r="AL527" s="15"/>
      <c r="AM527" s="15"/>
      <c r="AN527" s="15"/>
      <c r="AO527" s="15"/>
      <c r="AP527" s="15"/>
      <c r="AQ527" s="15"/>
    </row>
    <row r="528" spans="23:43" x14ac:dyDescent="0.3"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5"/>
      <c r="AL528" s="15"/>
      <c r="AM528" s="15"/>
      <c r="AN528" s="15"/>
      <c r="AO528" s="15"/>
      <c r="AP528" s="15"/>
      <c r="AQ528" s="15"/>
    </row>
    <row r="529" spans="23:43" x14ac:dyDescent="0.3"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5"/>
      <c r="AL529" s="15"/>
      <c r="AM529" s="15"/>
      <c r="AN529" s="15"/>
      <c r="AO529" s="15"/>
      <c r="AP529" s="15"/>
      <c r="AQ529" s="15"/>
    </row>
    <row r="530" spans="23:43" x14ac:dyDescent="0.3"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5"/>
      <c r="AL530" s="15"/>
      <c r="AM530" s="15"/>
      <c r="AN530" s="15"/>
      <c r="AO530" s="15"/>
      <c r="AP530" s="15"/>
      <c r="AQ530" s="15"/>
    </row>
    <row r="531" spans="23:43" x14ac:dyDescent="0.3"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5"/>
      <c r="AL531" s="15"/>
      <c r="AM531" s="15"/>
      <c r="AN531" s="15"/>
      <c r="AO531" s="15"/>
      <c r="AP531" s="15"/>
      <c r="AQ531" s="15"/>
    </row>
    <row r="532" spans="23:43" x14ac:dyDescent="0.3"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5"/>
      <c r="AL532" s="15"/>
      <c r="AM532" s="15"/>
      <c r="AN532" s="15"/>
      <c r="AO532" s="15"/>
      <c r="AP532" s="15"/>
      <c r="AQ532" s="15"/>
    </row>
    <row r="533" spans="23:43" x14ac:dyDescent="0.3"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5"/>
      <c r="AL533" s="15"/>
      <c r="AM533" s="15"/>
      <c r="AN533" s="15"/>
      <c r="AO533" s="15"/>
      <c r="AP533" s="15"/>
      <c r="AQ533" s="15"/>
    </row>
    <row r="534" spans="23:43" x14ac:dyDescent="0.3"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5"/>
      <c r="AL534" s="15"/>
      <c r="AM534" s="15"/>
      <c r="AN534" s="15"/>
      <c r="AO534" s="15"/>
      <c r="AP534" s="15"/>
      <c r="AQ534" s="15"/>
    </row>
    <row r="535" spans="23:43" x14ac:dyDescent="0.3"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5"/>
      <c r="AL535" s="15"/>
      <c r="AM535" s="15"/>
      <c r="AN535" s="15"/>
      <c r="AO535" s="15"/>
      <c r="AP535" s="15"/>
      <c r="AQ535" s="15"/>
    </row>
    <row r="536" spans="23:43" x14ac:dyDescent="0.3"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5"/>
      <c r="AL536" s="15"/>
      <c r="AM536" s="15"/>
      <c r="AN536" s="15"/>
      <c r="AO536" s="15"/>
      <c r="AP536" s="15"/>
      <c r="AQ536" s="15"/>
    </row>
    <row r="537" spans="23:43" x14ac:dyDescent="0.3"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5"/>
      <c r="AL537" s="15"/>
      <c r="AM537" s="15"/>
      <c r="AN537" s="15"/>
      <c r="AO537" s="15"/>
      <c r="AP537" s="15"/>
      <c r="AQ537" s="15"/>
    </row>
    <row r="538" spans="23:43" x14ac:dyDescent="0.3"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5"/>
      <c r="AL538" s="15"/>
      <c r="AM538" s="15"/>
      <c r="AN538" s="15"/>
      <c r="AO538" s="15"/>
      <c r="AP538" s="15"/>
      <c r="AQ538" s="15"/>
    </row>
    <row r="539" spans="23:43" x14ac:dyDescent="0.3"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5"/>
      <c r="AL539" s="15"/>
      <c r="AM539" s="15"/>
      <c r="AN539" s="15"/>
      <c r="AO539" s="15"/>
      <c r="AP539" s="15"/>
      <c r="AQ539" s="15"/>
    </row>
    <row r="540" spans="23:43" x14ac:dyDescent="0.3"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5"/>
      <c r="AL540" s="15"/>
      <c r="AM540" s="15"/>
      <c r="AN540" s="15"/>
      <c r="AO540" s="15"/>
      <c r="AP540" s="15"/>
      <c r="AQ540" s="15"/>
    </row>
    <row r="541" spans="23:43" x14ac:dyDescent="0.3"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5"/>
      <c r="AL541" s="15"/>
      <c r="AM541" s="15"/>
      <c r="AN541" s="15"/>
      <c r="AO541" s="15"/>
      <c r="AP541" s="15"/>
      <c r="AQ541" s="15"/>
    </row>
    <row r="542" spans="23:43" x14ac:dyDescent="0.3"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5"/>
      <c r="AL542" s="15"/>
      <c r="AM542" s="15"/>
      <c r="AN542" s="15"/>
      <c r="AO542" s="15"/>
      <c r="AP542" s="15"/>
      <c r="AQ542" s="15"/>
    </row>
    <row r="543" spans="23:43" x14ac:dyDescent="0.3"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5"/>
      <c r="AL543" s="15"/>
      <c r="AM543" s="15"/>
      <c r="AN543" s="15"/>
      <c r="AO543" s="15"/>
      <c r="AP543" s="15"/>
      <c r="AQ543" s="15"/>
    </row>
    <row r="544" spans="23:43" x14ac:dyDescent="0.3"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5"/>
      <c r="AL544" s="15"/>
      <c r="AM544" s="15"/>
      <c r="AN544" s="15"/>
      <c r="AO544" s="15"/>
      <c r="AP544" s="15"/>
      <c r="AQ544" s="15"/>
    </row>
    <row r="545" spans="23:43" x14ac:dyDescent="0.3"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5"/>
      <c r="AL545" s="15"/>
      <c r="AM545" s="15"/>
      <c r="AN545" s="15"/>
      <c r="AO545" s="15"/>
      <c r="AP545" s="15"/>
      <c r="AQ545" s="15"/>
    </row>
    <row r="546" spans="23:43" x14ac:dyDescent="0.3"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5"/>
      <c r="AL546" s="15"/>
      <c r="AM546" s="15"/>
      <c r="AN546" s="15"/>
      <c r="AO546" s="15"/>
      <c r="AP546" s="15"/>
      <c r="AQ546" s="15"/>
    </row>
    <row r="547" spans="23:43" x14ac:dyDescent="0.3"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5"/>
      <c r="AL547" s="15"/>
      <c r="AM547" s="15"/>
      <c r="AN547" s="15"/>
      <c r="AO547" s="15"/>
      <c r="AP547" s="15"/>
      <c r="AQ547" s="15"/>
    </row>
    <row r="548" spans="23:43" x14ac:dyDescent="0.3"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5"/>
      <c r="AL548" s="15"/>
      <c r="AM548" s="15"/>
      <c r="AN548" s="15"/>
      <c r="AO548" s="15"/>
      <c r="AP548" s="15"/>
      <c r="AQ548" s="15"/>
    </row>
    <row r="549" spans="23:43" x14ac:dyDescent="0.3"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5"/>
      <c r="AL549" s="15"/>
      <c r="AM549" s="15"/>
      <c r="AN549" s="15"/>
      <c r="AO549" s="15"/>
      <c r="AP549" s="15"/>
      <c r="AQ549" s="15"/>
    </row>
    <row r="550" spans="23:43" x14ac:dyDescent="0.3"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5"/>
      <c r="AL550" s="15"/>
      <c r="AM550" s="15"/>
      <c r="AN550" s="15"/>
      <c r="AO550" s="15"/>
      <c r="AP550" s="15"/>
      <c r="AQ550" s="15"/>
    </row>
    <row r="551" spans="23:43" x14ac:dyDescent="0.3"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5"/>
      <c r="AL551" s="15"/>
      <c r="AM551" s="15"/>
      <c r="AN551" s="15"/>
      <c r="AO551" s="15"/>
      <c r="AP551" s="15"/>
      <c r="AQ551" s="15"/>
    </row>
    <row r="552" spans="23:43" x14ac:dyDescent="0.3"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5"/>
      <c r="AL552" s="15"/>
      <c r="AM552" s="15"/>
      <c r="AN552" s="15"/>
      <c r="AO552" s="15"/>
      <c r="AP552" s="15"/>
      <c r="AQ552" s="15"/>
    </row>
    <row r="553" spans="23:43" x14ac:dyDescent="0.3"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5"/>
      <c r="AL553" s="15"/>
      <c r="AM553" s="15"/>
      <c r="AN553" s="15"/>
      <c r="AO553" s="15"/>
      <c r="AP553" s="15"/>
      <c r="AQ553" s="15"/>
    </row>
    <row r="554" spans="23:43" x14ac:dyDescent="0.3"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5"/>
      <c r="AL554" s="15"/>
      <c r="AM554" s="15"/>
      <c r="AN554" s="15"/>
      <c r="AO554" s="15"/>
      <c r="AP554" s="15"/>
      <c r="AQ554" s="15"/>
    </row>
    <row r="555" spans="23:43" x14ac:dyDescent="0.3"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5"/>
      <c r="AL555" s="15"/>
      <c r="AM555" s="15"/>
      <c r="AN555" s="15"/>
      <c r="AO555" s="15"/>
      <c r="AP555" s="15"/>
      <c r="AQ555" s="15"/>
    </row>
    <row r="556" spans="23:43" x14ac:dyDescent="0.3"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5"/>
      <c r="AL556" s="15"/>
      <c r="AM556" s="15"/>
      <c r="AN556" s="15"/>
      <c r="AO556" s="15"/>
      <c r="AP556" s="15"/>
      <c r="AQ556" s="15"/>
    </row>
    <row r="557" spans="23:43" x14ac:dyDescent="0.3"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5"/>
      <c r="AL557" s="15"/>
      <c r="AM557" s="15"/>
      <c r="AN557" s="15"/>
      <c r="AO557" s="15"/>
      <c r="AP557" s="15"/>
      <c r="AQ557" s="15"/>
    </row>
    <row r="558" spans="23:43" x14ac:dyDescent="0.3"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5"/>
      <c r="AL558" s="15"/>
      <c r="AM558" s="15"/>
      <c r="AN558" s="15"/>
      <c r="AO558" s="15"/>
      <c r="AP558" s="15"/>
      <c r="AQ558" s="15"/>
    </row>
    <row r="559" spans="23:43" x14ac:dyDescent="0.3"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5"/>
      <c r="AL559" s="15"/>
      <c r="AM559" s="15"/>
      <c r="AN559" s="15"/>
      <c r="AO559" s="15"/>
      <c r="AP559" s="15"/>
      <c r="AQ559" s="15"/>
    </row>
    <row r="560" spans="23:43" x14ac:dyDescent="0.3"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5"/>
      <c r="AL560" s="15"/>
      <c r="AM560" s="15"/>
      <c r="AN560" s="15"/>
      <c r="AO560" s="15"/>
      <c r="AP560" s="15"/>
      <c r="AQ560" s="15"/>
    </row>
    <row r="561" spans="23:43" x14ac:dyDescent="0.3"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5"/>
      <c r="AL561" s="15"/>
      <c r="AM561" s="15"/>
      <c r="AN561" s="15"/>
      <c r="AO561" s="15"/>
      <c r="AP561" s="15"/>
      <c r="AQ561" s="15"/>
    </row>
    <row r="562" spans="23:43" x14ac:dyDescent="0.3"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5"/>
      <c r="AL562" s="15"/>
      <c r="AM562" s="15"/>
      <c r="AN562" s="15"/>
      <c r="AO562" s="15"/>
      <c r="AP562" s="15"/>
      <c r="AQ562" s="15"/>
    </row>
    <row r="563" spans="23:43" x14ac:dyDescent="0.3"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5"/>
      <c r="AL563" s="15"/>
      <c r="AM563" s="15"/>
      <c r="AN563" s="15"/>
      <c r="AO563" s="15"/>
      <c r="AP563" s="15"/>
      <c r="AQ563" s="15"/>
    </row>
    <row r="564" spans="23:43" x14ac:dyDescent="0.3"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5"/>
      <c r="AL564" s="15"/>
      <c r="AM564" s="15"/>
      <c r="AN564" s="15"/>
      <c r="AO564" s="15"/>
      <c r="AP564" s="15"/>
      <c r="AQ564" s="15"/>
    </row>
    <row r="565" spans="23:43" x14ac:dyDescent="0.3"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5"/>
      <c r="AL565" s="15"/>
      <c r="AM565" s="15"/>
      <c r="AN565" s="15"/>
      <c r="AO565" s="15"/>
      <c r="AP565" s="15"/>
      <c r="AQ565" s="15"/>
    </row>
    <row r="566" spans="23:43" x14ac:dyDescent="0.3"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5"/>
      <c r="AL566" s="15"/>
      <c r="AM566" s="15"/>
      <c r="AN566" s="15"/>
      <c r="AO566" s="15"/>
      <c r="AP566" s="15"/>
      <c r="AQ566" s="15"/>
    </row>
    <row r="567" spans="23:43" x14ac:dyDescent="0.3"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5"/>
      <c r="AL567" s="15"/>
      <c r="AM567" s="15"/>
      <c r="AN567" s="15"/>
      <c r="AO567" s="15"/>
      <c r="AP567" s="15"/>
      <c r="AQ567" s="15"/>
    </row>
    <row r="568" spans="23:43" x14ac:dyDescent="0.3"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5"/>
      <c r="AL568" s="15"/>
      <c r="AM568" s="15"/>
      <c r="AN568" s="15"/>
      <c r="AO568" s="15"/>
      <c r="AP568" s="15"/>
      <c r="AQ568" s="15"/>
    </row>
    <row r="569" spans="23:43" x14ac:dyDescent="0.3"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5"/>
      <c r="AL569" s="15"/>
      <c r="AM569" s="15"/>
      <c r="AN569" s="15"/>
      <c r="AO569" s="15"/>
      <c r="AP569" s="15"/>
      <c r="AQ569" s="15"/>
    </row>
    <row r="570" spans="23:43" x14ac:dyDescent="0.3"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5"/>
      <c r="AL570" s="15"/>
      <c r="AM570" s="15"/>
      <c r="AN570" s="15"/>
      <c r="AO570" s="15"/>
      <c r="AP570" s="15"/>
      <c r="AQ570" s="15"/>
    </row>
    <row r="571" spans="23:43" x14ac:dyDescent="0.3"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5"/>
      <c r="AL571" s="15"/>
      <c r="AM571" s="15"/>
      <c r="AN571" s="15"/>
      <c r="AO571" s="15"/>
      <c r="AP571" s="15"/>
      <c r="AQ571" s="15"/>
    </row>
    <row r="572" spans="23:43" x14ac:dyDescent="0.3"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5"/>
      <c r="AL572" s="15"/>
      <c r="AM572" s="15"/>
      <c r="AN572" s="15"/>
      <c r="AO572" s="15"/>
      <c r="AP572" s="15"/>
      <c r="AQ572" s="15"/>
    </row>
    <row r="573" spans="23:43" x14ac:dyDescent="0.3"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5"/>
      <c r="AL573" s="15"/>
      <c r="AM573" s="15"/>
      <c r="AN573" s="15"/>
      <c r="AO573" s="15"/>
      <c r="AP573" s="15"/>
      <c r="AQ573" s="15"/>
    </row>
    <row r="574" spans="23:43" x14ac:dyDescent="0.3"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5"/>
      <c r="AL574" s="15"/>
      <c r="AM574" s="15"/>
      <c r="AN574" s="15"/>
      <c r="AO574" s="15"/>
      <c r="AP574" s="15"/>
      <c r="AQ574" s="15"/>
    </row>
    <row r="575" spans="23:43" x14ac:dyDescent="0.3"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5"/>
      <c r="AL575" s="15"/>
      <c r="AM575" s="15"/>
      <c r="AN575" s="15"/>
      <c r="AO575" s="15"/>
      <c r="AP575" s="15"/>
      <c r="AQ575" s="15"/>
    </row>
    <row r="576" spans="23:43" x14ac:dyDescent="0.3"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5"/>
      <c r="AL576" s="15"/>
      <c r="AM576" s="15"/>
      <c r="AN576" s="15"/>
      <c r="AO576" s="15"/>
      <c r="AP576" s="15"/>
      <c r="AQ576" s="15"/>
    </row>
    <row r="577" spans="23:43" x14ac:dyDescent="0.3"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5"/>
      <c r="AL577" s="15"/>
      <c r="AM577" s="15"/>
      <c r="AN577" s="15"/>
      <c r="AO577" s="15"/>
      <c r="AP577" s="15"/>
      <c r="AQ577" s="15"/>
    </row>
    <row r="578" spans="23:43" x14ac:dyDescent="0.3"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5"/>
      <c r="AL578" s="15"/>
      <c r="AM578" s="15"/>
      <c r="AN578" s="15"/>
      <c r="AO578" s="15"/>
      <c r="AP578" s="15"/>
      <c r="AQ578" s="15"/>
    </row>
    <row r="579" spans="23:43" x14ac:dyDescent="0.3"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5"/>
      <c r="AL579" s="15"/>
      <c r="AM579" s="15"/>
      <c r="AN579" s="15"/>
      <c r="AO579" s="15"/>
      <c r="AP579" s="15"/>
      <c r="AQ579" s="15"/>
    </row>
    <row r="580" spans="23:43" x14ac:dyDescent="0.3"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5"/>
      <c r="AL580" s="15"/>
      <c r="AM580" s="15"/>
      <c r="AN580" s="15"/>
      <c r="AO580" s="15"/>
      <c r="AP580" s="15"/>
      <c r="AQ580" s="15"/>
    </row>
    <row r="581" spans="23:43" x14ac:dyDescent="0.3"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5"/>
      <c r="AL581" s="15"/>
      <c r="AM581" s="15"/>
      <c r="AN581" s="15"/>
      <c r="AO581" s="15"/>
      <c r="AP581" s="15"/>
      <c r="AQ581" s="15"/>
    </row>
    <row r="582" spans="23:43" x14ac:dyDescent="0.3"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5"/>
      <c r="AL582" s="15"/>
      <c r="AM582" s="15"/>
      <c r="AN582" s="15"/>
      <c r="AO582" s="15"/>
      <c r="AP582" s="15"/>
      <c r="AQ582" s="15"/>
    </row>
    <row r="583" spans="23:43" x14ac:dyDescent="0.3"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5"/>
      <c r="AL583" s="15"/>
      <c r="AM583" s="15"/>
      <c r="AN583" s="15"/>
      <c r="AO583" s="15"/>
      <c r="AP583" s="15"/>
      <c r="AQ583" s="15"/>
    </row>
    <row r="584" spans="23:43" x14ac:dyDescent="0.3"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5"/>
      <c r="AL584" s="15"/>
      <c r="AM584" s="15"/>
      <c r="AN584" s="15"/>
      <c r="AO584" s="15"/>
      <c r="AP584" s="15"/>
      <c r="AQ584" s="15"/>
    </row>
    <row r="585" spans="23:43" x14ac:dyDescent="0.3"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5"/>
      <c r="AL585" s="15"/>
      <c r="AM585" s="15"/>
      <c r="AN585" s="15"/>
      <c r="AO585" s="15"/>
      <c r="AP585" s="15"/>
      <c r="AQ585" s="15"/>
    </row>
    <row r="586" spans="23:43" x14ac:dyDescent="0.3"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5"/>
      <c r="AL586" s="15"/>
      <c r="AM586" s="15"/>
      <c r="AN586" s="15"/>
      <c r="AO586" s="15"/>
      <c r="AP586" s="15"/>
      <c r="AQ586" s="15"/>
    </row>
    <row r="587" spans="23:43" x14ac:dyDescent="0.3"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5"/>
      <c r="AL587" s="15"/>
      <c r="AM587" s="15"/>
      <c r="AN587" s="15"/>
      <c r="AO587" s="15"/>
      <c r="AP587" s="15"/>
      <c r="AQ587" s="15"/>
    </row>
  </sheetData>
  <sheetProtection algorithmName="SHA-512" hashValue="XagY3UpCKeaOoduAVGSBvaeMirdhXwMB+8ZOoJtZ5cCuqeQRiNdpVDo19gw59G/0INcHBx3jGCTCZ8ULcSk7kg==" saltValue="HoFI0UCyQoR4fWA7XRJuWg==" spinCount="100000" sheet="1" objects="1" scenarios="1"/>
  <autoFilter ref="A1:AQ587" xr:uid="{00000000-0009-0000-0000-000001000000}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IBase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euroks</dc:creator>
  <cp:lastModifiedBy>Home</cp:lastModifiedBy>
  <cp:lastPrinted>2013-03-08T01:30:42Z</cp:lastPrinted>
  <dcterms:created xsi:type="dcterms:W3CDTF">2013-01-24T19:46:45Z</dcterms:created>
  <dcterms:modified xsi:type="dcterms:W3CDTF">2025-11-20T02:41:13Z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76790603</vt:i4>
  </property>
  <property fmtid="{D5CDD505-2E9C-101B-9397-08002B2CF9AE}" pid="3" name="_NewReviewCycle">
    <vt:lpwstr/>
  </property>
  <property fmtid="{D5CDD505-2E9C-101B-9397-08002B2CF9AE}" pid="4" name="_EmailSubject">
    <vt:lpwstr>AAAAMMDDBASIC_AF-Generador v0.5</vt:lpwstr>
  </property>
  <property fmtid="{D5CDD505-2E9C-101B-9397-08002B2CF9AE}" pid="5" name="_AuthorEmail">
    <vt:lpwstr>emilio.casane@wincor-nixdorf.com</vt:lpwstr>
  </property>
  <property fmtid="{D5CDD505-2E9C-101B-9397-08002B2CF9AE}" pid="6" name="_AuthorEmailDisplayName">
    <vt:lpwstr>Casane Gonzalez, Emilio</vt:lpwstr>
  </property>
  <property fmtid="{D5CDD505-2E9C-101B-9397-08002B2CF9AE}" pid="7" name="_PreviousAdHocReviewCycleID">
    <vt:i4>-1924919892</vt:i4>
  </property>
  <property fmtid="{D5CDD505-2E9C-101B-9397-08002B2CF9AE}" pid="8" name="_ReviewingToolsShownOnce">
    <vt:lpwstr/>
  </property>
</Properties>
</file>