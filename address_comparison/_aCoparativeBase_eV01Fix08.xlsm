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fileSharing readOnlyRecommended="1" userName="_ext Nieto, Hugo Jahaziel" algorithmName="SHA-512" hashValue="lvarhPKNT5UShVA0t8KBODS/Da3TQ+21boFrKqTMzgt+OSOkdBGGMchKtQpDsBhb86J7kRjD/6LIT+hzO6piRg==" saltValue="9o8J095dQeTNbvPp5oKeqw==" spinCount="10000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ome\OneDrive\Escritorio\GitHub\Excel\"/>
    </mc:Choice>
  </mc:AlternateContent>
  <xr:revisionPtr revIDLastSave="0" documentId="13_ncr:10001_{37F457BD-139B-4573-BCD6-C67D586A8A09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Site" sheetId="5" r:id="rId1"/>
    <sheet name="Address" sheetId="4" state="veryHidden" r:id="rId2"/>
  </sheets>
  <definedNames>
    <definedName name="_xlnm._FilterDatabase" localSheetId="1" hidden="1">Address!$A$1:$V$2</definedName>
    <definedName name="_xlnm._FilterDatabase" localSheetId="0" hidden="1">Site!$A$1:$N$1</definedName>
  </definedNames>
  <calcPr calcId="181029"/>
</workbook>
</file>

<file path=xl/calcChain.xml><?xml version="1.0" encoding="utf-8"?>
<calcChain xmlns="http://schemas.openxmlformats.org/spreadsheetml/2006/main">
  <c r="L5" i="5" l="1"/>
  <c r="K5" i="5"/>
  <c r="J5" i="5"/>
  <c r="I5" i="5"/>
  <c r="H5" i="5"/>
  <c r="B5" i="5" s="1"/>
  <c r="G5" i="5"/>
  <c r="F5" i="5"/>
  <c r="E5" i="5"/>
  <c r="D5" i="5"/>
  <c r="C5" i="5"/>
  <c r="L4" i="5"/>
  <c r="K4" i="5"/>
  <c r="J4" i="5"/>
  <c r="I4" i="5"/>
  <c r="H4" i="5"/>
  <c r="G4" i="5"/>
  <c r="F4" i="5"/>
  <c r="E4" i="5"/>
  <c r="D4" i="5"/>
  <c r="C4" i="5"/>
  <c r="B4" i="5"/>
  <c r="L3" i="5"/>
  <c r="K3" i="5"/>
  <c r="J3" i="5"/>
  <c r="I3" i="5"/>
  <c r="B3" i="5" s="1"/>
  <c r="H3" i="5"/>
  <c r="G3" i="5"/>
  <c r="F3" i="5"/>
  <c r="E3" i="5"/>
  <c r="D3" i="5"/>
  <c r="C3" i="5"/>
  <c r="G2" i="4"/>
  <c r="N2" i="4"/>
  <c r="H2" i="4" l="1"/>
  <c r="I2" i="4" s="1"/>
  <c r="O2" i="4"/>
  <c r="P2" i="4" s="1"/>
  <c r="E2" i="4"/>
  <c r="J2" i="4" l="1"/>
  <c r="K2" i="4" s="1"/>
  <c r="Q2" i="4"/>
  <c r="L2" i="5"/>
  <c r="K2" i="5"/>
  <c r="J2" i="5"/>
  <c r="I2" i="5"/>
  <c r="H2" i="5"/>
  <c r="G2" i="5"/>
  <c r="F2" i="5"/>
  <c r="E2" i="5"/>
  <c r="D2" i="5"/>
  <c r="C2" i="5"/>
  <c r="O1" i="5"/>
  <c r="L2" i="4" l="1"/>
  <c r="M2" i="4" s="1"/>
  <c r="F2" i="4" s="1"/>
  <c r="D2" i="4" s="1"/>
  <c r="C2" i="4" s="1"/>
  <c r="R2" i="4"/>
  <c r="S2" i="4" s="1"/>
  <c r="T2" i="4" s="1"/>
  <c r="B2" i="5"/>
  <c r="B2" i="4" l="1"/>
  <c r="W1" i="4" l="1"/>
</calcChain>
</file>

<file path=xl/sharedStrings.xml><?xml version="1.0" encoding="utf-8"?>
<sst xmlns="http://schemas.openxmlformats.org/spreadsheetml/2006/main" count="45" uniqueCount="29">
  <si>
    <t>ATM</t>
  </si>
  <si>
    <t>1N1</t>
  </si>
  <si>
    <t>1N2</t>
  </si>
  <si>
    <t>1N3</t>
  </si>
  <si>
    <t>1N4</t>
  </si>
  <si>
    <t>1N5</t>
  </si>
  <si>
    <t>2N1</t>
  </si>
  <si>
    <t>2N2</t>
  </si>
  <si>
    <t>2N3</t>
  </si>
  <si>
    <t>2N4</t>
  </si>
  <si>
    <t>2N5</t>
  </si>
  <si>
    <t>Match Gral</t>
  </si>
  <si>
    <t>Match No</t>
  </si>
  <si>
    <t>Comparativo01 Nuevo</t>
  </si>
  <si>
    <t>Comparativo02 Previo</t>
  </si>
  <si>
    <t>Int(No)-1</t>
  </si>
  <si>
    <t>Int(No)-2</t>
  </si>
  <si>
    <t>ValNo-A</t>
  </si>
  <si>
    <t>1N6</t>
  </si>
  <si>
    <t>1N7</t>
  </si>
  <si>
    <t>2N6</t>
  </si>
  <si>
    <t>2N7</t>
  </si>
  <si>
    <t>hugo jahaziel nieto bianchi</t>
  </si>
  <si>
    <t>hugo jahaziel nieto</t>
  </si>
  <si>
    <t>hugo nieto bianchi</t>
  </si>
  <si>
    <t>hugo jahaziel</t>
  </si>
  <si>
    <t>calandria no 27 int 16</t>
  </si>
  <si>
    <t>calandria 27 16</t>
  </si>
  <si>
    <t>el boton elimina caracteres especiales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</si>
</sst>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A]d\-mmm\-yy;@"/>
    <numFmt numFmtId="165" formatCode="h:mm;@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b/>
      <sz val="11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165" fontId="1" fillId="0" borderId="0"/>
    <xf numFmtId="164" fontId="2" fillId="0" borderId="0"/>
    <xf numFmtId="165" fontId="2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4" fillId="2" borderId="1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4" fillId="2" borderId="0" xfId="0" applyFont="1" applyFill="1" applyBorder="1" applyAlignment="1">
      <alignment horizontal="center"/>
    </xf>
  </cellXfs>
  <cellStyles count="9">
    <cellStyle name="Normal" xfId="0" builtinId="0"/>
    <cellStyle name="Normal 15" xfId="5" xr:uid="{00000000-0005-0000-0000-000001000000}"/>
    <cellStyle name="Normal 16" xfId="6" xr:uid="{00000000-0005-0000-0000-000002000000}"/>
    <cellStyle name="Normal 17" xfId="7" xr:uid="{00000000-0005-0000-0000-000003000000}"/>
    <cellStyle name="Normal 18" xfId="8" xr:uid="{00000000-0005-0000-0000-000004000000}"/>
    <cellStyle name="Normal 2" xfId="4" xr:uid="{00000000-0005-0000-0000-000005000000}"/>
    <cellStyle name="Normal 2 10" xfId="2" xr:uid="{00000000-0005-0000-0000-000006000000}"/>
    <cellStyle name="Normal 2 10 2 2 2" xfId="3" xr:uid="{00000000-0005-0000-0000-000007000000}"/>
    <cellStyle name="Normal 22" xfId="1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31750</xdr:colOff>
          <xdr:row>0</xdr:row>
          <xdr:rowOff>25400</xdr:rowOff>
        </xdr:from>
        <xdr:to>
          <xdr:col>14</xdr:col>
          <xdr:colOff>755650</xdr:colOff>
          <xdr:row>0</xdr:row>
          <xdr:rowOff>279400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31750</xdr:colOff>
          <xdr:row>0</xdr:row>
          <xdr:rowOff>25400</xdr:rowOff>
        </xdr:from>
        <xdr:to>
          <xdr:col>22</xdr:col>
          <xdr:colOff>755650</xdr:colOff>
          <xdr:row>0</xdr:row>
          <xdr:rowOff>279400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P3529"/>
  <sheetViews>
    <sheetView tabSelected="1" zoomScale="90" zoomScaleNormal="90" workbookViewId="0">
      <pane ySplit="1" topLeftCell="A2" activePane="bottomLeft" state="frozen"/>
      <selection activeCell="Q7" sqref="Q7:Y705"/>
      <selection pane="bottomLeft" activeCell="M6" sqref="M6"/>
    </sheetView>
  </sheetViews>
  <sheetFormatPr defaultColWidth="11.453125" defaultRowHeight="14.5" x14ac:dyDescent="0.35"/>
  <cols>
    <col min="1" max="1" width="30" style="1" customWidth="1"/>
    <col min="2" max="2" width="17.81640625" style="1" customWidth="1"/>
    <col min="3" max="12" width="1.1796875" customWidth="1"/>
    <col min="13" max="13" width="47.453125" customWidth="1"/>
    <col min="14" max="14" width="52.6328125" bestFit="1" customWidth="1"/>
  </cols>
  <sheetData>
    <row r="1" spans="1:16" ht="24" customHeight="1" x14ac:dyDescent="0.35">
      <c r="A1" s="3" t="s">
        <v>0</v>
      </c>
      <c r="B1" s="3" t="s">
        <v>11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13</v>
      </c>
      <c r="N1" s="2" t="s">
        <v>14</v>
      </c>
      <c r="O1" s="3">
        <f>MAX(COUNTIFS(A:A,"&lt;&gt;"),COUNTIFS(M:M,"&lt;&gt;"),COUNTIFS(N:N,"&lt;&gt;"))</f>
        <v>5</v>
      </c>
      <c r="P1" s="4" t="s">
        <v>28</v>
      </c>
    </row>
    <row r="2" spans="1:16" x14ac:dyDescent="0.35">
      <c r="B2" s="1" t="str">
        <f t="shared" ref="B2" si="0">IF(M2=N2,"OK+++",IF(IFERROR(SEARCH(N2,M2),0)&gt;=1,"OK+++",IF(IFERROR(SEARCH(M2,N2),0)&gt;=1,"OK+++",IF((IF(ISERROR(SEARCH(C2,N2,1)),0,1)+IF(ISERROR(SEARCH(D2,N2,1)),0,1)+IF(ISERROR(SEARCH(E2,N2,1)),0,1)+IF(ISERROR(SEARCH(F2,N2,1)),0,1)+IF(ISERROR(SEARCH(G2,N2,1)),0,1))&gt;=4,"OK+++",IF((IF(ISERROR(SEARCH(H2,M2,1)),0,1)+IF(ISERROR(SEARCH(I2,M2,1)),0,1)+IF(ISERROR(SEARCH(J2,M2,1)),0,1)+IF(ISERROR(SEARCH(K2,M2,1)),0,1)+IF(ISERROR(SEARCH(L2,M2,1)),0,1))&gt;=4,"OK+++",IF((IF(ISERROR(SEARCH(C2,N2,1)),0,1)+IF(ISERROR(SEARCH(D2,N2,1)),0,1)+IF(ISERROR(SEARCH(E2,N2,1)),0,1)+IF(ISERROR(SEARCH(F2,N2,1)),0,1)+IF(ISERROR(SEARCH(G2,N2,1)),0,1))&gt;=3,"OK++",IF((IF(ISERROR(SEARCH(H2,M2,1)),0,1)+IF(ISERROR(SEARCH(I2,M2,1)),0,1)+IF(ISERROR(SEARCH(J2,M2,1)),0,1)+IF(ISERROR(SEARCH(K2,M2,1)),0,1)+IF(ISERROR(SEARCH(L2,M2,1)),0,1))&gt;=3,"OK++",IF((IF(ISERROR(SEARCH(C2,N2,1)),0,1)+IF(ISERROR(SEARCH(D2,N2,1)),0,1)+IF(ISERROR(SEARCH(E2,N2,1)),0,1)+IF(ISERROR(SEARCH(F2,N2,1)),0,1)+IF(ISERROR(SEARCH(G2,N2,1)),0,1))&gt;=2,"OK+",IF((IF(ISERROR(SEARCH(H2,M2,1)),0,1)+IF(ISERROR(SEARCH(I2,M2,1)),0,1)+IF(ISERROR(SEARCH(J2,M2,1)),0,1)+IF(ISERROR(SEARCH(K2,M2,1)),0,1)+IF(ISERROR(SEARCH(L2,M2,1)),0,1))&gt;=2,"OK+",IF((IF(ISERROR(SEARCH(C2,N2,1)),0,1)+IF(ISERROR(SEARCH(D2,N2,1)),0,1)+IF(ISERROR(SEARCH(E2,N2,1)),0,1)+IF(ISERROR(SEARCH(F2,N2,1)),0,1)+IF(ISERROR(SEARCH(G2,N2,1)),0,1))&gt;=1,"NO",IF((IF(ISERROR(SEARCH(H2,M2,1)),0,1)+IF(ISERROR(SEARCH(I2,M2,1)),0,1)+IF(ISERROR(SEARCH(J2,M2,1)),0,1)+IF(ISERROR(SEARCH(K2,M2,1)),0,1)+IF(ISERROR(SEARCH(L2,M2,1)),0,1))&gt;=1,"NO","NO")))))))))))</f>
        <v>OK+++</v>
      </c>
      <c r="C2" s="1" t="str">
        <f>IFERROR(MID(M2,1,SEARCH(" ",M2,1)-1),M2)</f>
        <v>hugo</v>
      </c>
      <c r="D2" s="1" t="str">
        <f>IFERROR(MID(MID(M2,SEARCH(" ",M2,1)+1,LEN(M2)-SEARCH(" ",M2,1)),1,SEARCH(" ",MID(M2,SEARCH(" ",M2,1)+1,LEN(M2)-SEARCH(" ",M2,1)),1)-1),MID(M2,LEN(MID(M2,1,SEARCH(" ",M2,1)-1))+2,LEN(M2)-LEN(MID(M2,1,SEARCH(" ",M2,1)-1))+1))</f>
        <v>jahaziel</v>
      </c>
      <c r="E2" s="1" t="str">
        <f>IFERROR(MID(MID(MID(M2,SEARCH(" ",M2,1)+1,LEN(M2)-SEARCH(" ",M2,1)),SEARCH(" ",MID(M2,SEARCH(" ",M2,1)+1,LEN(M2)-SEARCH(" ",M2,1)),1)+1,LEN(MID(M2,SEARCH(" ",M2,1)+1,LEN(M2)-SEARCH(" ",M2,1)))-SEARCH(" ",MID(M2,SEARCH(" ",M2,1)+1,LEN(M2)-SEARCH(" ",M2,1)),1)),1,SEARCH(" ",MID(MID(M2,SEARCH(" ",M2,1)+1,LEN(M2)-SEARCH(" ",M2,1)),SEARCH(" ",MID(M2,SEARCH(" ",M2,1)+1,LEN(M2)-SEARCH(" ",M2,1)),1)+1,LEN(MID(M2,SEARCH(" ",M2,1)+1,LEN(M2)-SEARCH(" ",M2,1)))-SEARCH(" ",MID(M2,SEARCH(" ",M2,1)+1,LEN(M2)-SEARCH(" ",M2,1)),1)),1)-1),MID(M2,LEN(IFERROR(MID(MID(M2,SEARCH(" ",M2,1)+1,LEN(M2)-SEARCH(" ",M2,1)),1,SEARCH(" ",MID(M2,SEARCH(" ",M2,1)+1,LEN(M2)-SEARCH(" ",M2,1)),1)-1),MID(M2,LEN(MID(M2,1,SEARCH(" ",M2,1)-1))+2,LEN(M2)-LEN(MID(M2,1,SEARCH(" ",M2,1)-1))+1)))+LEN(IFERROR(MID(M2,1,SEARCH(" ",M2,1)-1),M2))+3,LEN(M2)-(LEN(IFERROR(MID(MID(M2,SEARCH(" ",M2,1)+1,LEN(M2)-SEARCH(" ",M2,1)),1,SEARCH(" ",MID(M2,SEARCH(" ",M2,1)+1,LEN(M2)-SEARCH(" ",M2,1)),1)-1),MID(M2,LEN(MID(M2,1,SEARCH(" ",M2,1)-1))+2,LEN(M2)-LEN(MID(M2,1,SEARCH(" ",M2,1)-1))+1)))+LEN(IFERROR(MID(M2,1,SEARCH(" ",M2,1)-1),M2))+2)))</f>
        <v>nieto</v>
      </c>
      <c r="F2" s="1" t="str">
        <f>IFERROR(MID(MID(MID(MID(M2,SEARCH(" ",M2,1)+1,LEN(M2)-SEARCH(" ",M2,1)),SEARCH(" ",MID(M2,SEARCH(" ",M2,1)+1,LEN(M2)-SEARCH(" ",M2,1)),1)+1,LEN(MID(M2,SEARCH(" ",M2,1)+1,LEN(M2)-SEARCH(" ",M2,1)))-SEARCH(" ",MID(M2,SEARCH(" ",M2,1)+1,LEN(M2)-SEARCH(" ",M2,1)),1)),SEARCH(" ",MID(MID(M2,SEARCH(" ",M2,1)+1,LEN(M2)-SEARCH(" ",M2,1)),SEARCH(" ",MID(M2,SEARCH(" ",M2,1)+1,LEN(M2)-SEARCH(" ",M2,1)),1)+1,LEN(MID(M2,SEARCH(" ",M2,1)+1,LEN(M2)-SEARCH(" ",M2,1)))-SEARCH(" ",MID(M2,SEARCH(" ",M2,1)+1,LEN(M2)-SEARCH(" ",M2,1)),1)),1)+1,LEN(MID(MID(M2,SEARCH(" ",M2,1)+1,LEN(M2)-SEARCH(" ",M2,1)),SEARCH(" ",MID(M2,SEARCH(" ",M2,1)+1,LEN(M2)-SEARCH(" ",M2,1)),1)+1,LEN(MID(M2,SEARCH(" ",M2,1)+1,LEN(M2)-SEARCH(" ",M2,1)))-SEARCH(" ",MID(M2,SEARCH(" ",M2,1)+1,LEN(M2)-SEARCH(" ",M2,1)),1)))-SEARCH(" ",MID(MID(M2,SEARCH(" ",M2,1)+1,LEN(M2)-SEARCH(" ",M2,1)),SEARCH(" ",MID(M2,SEARCH(" ",M2,1)+1,LEN(M2)-SEARCH(" ",M2,1)),1)+1,LEN(MID(M2,SEARCH(" ",M2,1)+1,LEN(M2)-SEARCH(" ",M2,1)))-SEARCH(" ",MID(M2,SEARCH(" ",M2,1)+1,LEN(M2)-SEARCH(" ",M2,1)),1)),1)),1,SEARCH(" ",MID(MID(MID(M2,SEARCH(" ",M2,1)+1,LEN(M2)-SEARCH(" ",M2,1)),SEARCH(" ",MID(M2,SEARCH(" ",M2,1)+1,LEN(M2)-SEARCH(" ",M2,1)),1)+1,LEN(MID(M2,SEARCH(" ",M2,1)+1,LEN(M2)-SEARCH(" ",M2,1)))-SEARCH(" ",MID(M2,SEARCH(" ",M2,1)+1,LEN(M2)-SEARCH(" ",M2,1)),1)),SEARCH(" ",MID(MID(M2,SEARCH(" ",M2,1)+1,LEN(M2)-SEARCH(" ",M2,1)),SEARCH(" ",MID(M2,SEARCH(" ",M2,1)+1,LEN(M2)-SEARCH(" ",M2,1)),1)+1,LEN(MID(M2,SEARCH(" ",M2,1)+1,LEN(M2)-SEARCH(" ",M2,1)))-SEARCH(" ",MID(M2,SEARCH(" ",M2,1)+1,LEN(M2)-SEARCH(" ",M2,1)),1)),1)+1,LEN(MID(MID(M2,SEARCH(" ",M2,1)+1,LEN(M2)-SEARCH(" ",M2,1)),SEARCH(" ",MID(M2,SEARCH(" ",M2,1)+1,LEN(M2)-SEARCH(" ",M2,1)),1)+1,LEN(MID(M2,SEARCH(" ",M2,1)+1,LEN(M2)-SEARCH(" ",M2,1)))-SEARCH(" ",MID(M2,SEARCH(" ",M2,1)+1,LEN(M2)-SEARCH(" ",M2,1)),1)))-SEARCH(" ",MID(MID(M2,SEARCH(" ",M2,1)+1,LEN(M2)-SEARCH(" ",M2,1)),SEARCH(" ",MID(M2,SEARCH(" ",M2,1)+1,LEN(M2)-SEARCH(" ",M2,1)),1)+1,LEN(MID(M2,SEARCH(" ",M2,1)+1,LEN(M2)-SEARCH(" ",M2,1)))-SEARCH(" ",MID(M2,SEARCH(" ",M2,1)+1,LEN(M2)-SEARCH(" ",M2,1)),1)),1)),1)-1),MID(M2,LEN(IFERROR(MID(MID(MID(M2,SEARCH(" ",M2,1)+1,LEN(M2)-SEARCH(" ",M2,1)),SEARCH(" ",MID(M2,SEARCH(" ",M2,1)+1,LEN(M2)-SEARCH(" ",M2,1)),1)+1,LEN(MID(M2,SEARCH(" ",M2,1)+1,LEN(M2)-SEARCH(" ",M2,1)))-SEARCH(" ",MID(M2,SEARCH(" ",M2,1)+1,LEN(M2)-SEARCH(" ",M2,1)),1)),1,SEARCH(" ",MID(MID(M2,SEARCH(" ",M2,1)+1,LEN(M2)-SEARCH(" ",M2,1)),SEARCH(" ",MID(M2,SEARCH(" ",M2,1)+1,LEN(M2)-SEARCH(" ",M2,1)),1)+1,LEN(MID(M2,SEARCH(" ",M2,1)+1,LEN(M2)-SEARCH(" ",M2,1)))-SEARCH(" ",MID(M2,SEARCH(" ",M2,1)+1,LEN(M2)-SEARCH(" ",M2,1)),1)),1)-1),MID(M2,LEN(IFERROR(MID(MID(M2,SEARCH(" ",M2,1)+1,LEN(M2)-SEARCH(" ",M2,1)),1,SEARCH(" ",MID(M2,SEARCH(" ",M2,1)+1,LEN(M2)-SEARCH(" ",M2,1)),1)-1),MID(M2,LEN(MID(M2,1,SEARCH(" ",M2,1)-1))+2,LEN(M2)-LEN(MID(M2,1,SEARCH(" ",M2,1)-1))+1)))+LEN(IFERROR(MID(M2,1,SEARCH(" ",M2,1)-1),M2))+3,LEN(M2)-(LEN(IFERROR(MID(MID(M2,SEARCH(" ",M2,1)+1,LEN(M2)-SEARCH(" ",M2,1)),1,SEARCH(" ",MID(M2,SEARCH(" ",M2,1)+1,LEN(M2)-SEARCH(" ",M2,1)),1)-1),MID(M2,LEN(MID(M2,1,SEARCH(" ",M2,1)-1))+2,LEN(M2)-LEN(MID(M2,1,SEARCH(" ",M2,1)-1))+1)))+LEN(IFERROR(MID(M2,1,SEARCH(" ",M2,1)-1),M2))+2))))+LEN(IFERROR(MID(MID(M2,SEARCH(" ",M2,1)+1,LEN(M2)-SEARCH(" ",M2,1)),1,SEARCH(" ",MID(M2,SEARCH(" ",M2,1)+1,LEN(M2)-SEARCH(" ",M2,1)),1)-1),MID(M2,LEN(MID(M2,1,SEARCH(" ",M2,1)-1))+2,LEN(M2)-LEN(MID(M2,1,SEARCH(" ",M2,1)-1))+1)))+LEN(IFERROR(MID(M2,1,SEARCH(" ",M2,1)-1),M2))+4,LEN(M2)-(LEN(IFERROR(MID(MID(MID(M2,SEARCH(" ",M2,1)+1,LEN(M2)-SEARCH(" ",M2,1)),SEARCH(" ",MID(M2,SEARCH(" ",M2,1)+1,LEN(M2)-SEARCH(" ",M2,1)),1)+1,LEN(MID(M2,SEARCH(" ",M2,1)+1,LEN(M2)-SEARCH(" ",M2,1)))-SEARCH(" ",MID(M2,SEARCH(" ",M2,1)+1,LEN(M2)-SEARCH(" ",M2,1)),1)),1,SEARCH(" ",MID(MID(M2,SEARCH(" ",M2,1)+1,LEN(M2)-SEARCH(" ",M2,1)),SEARCH(" ",MID(M2,SEARCH(" ",M2,1)+1,LEN(M2)-SEARCH(" ",M2,1)),1)+1,LEN(MID(M2,SEARCH(" ",M2,1)+1,LEN(M2)-SEARCH(" ",M2,1)))-SEARCH(" ",MID(M2,SEARCH(" ",M2,1)+1,LEN(M2)-SEARCH(" ",M2,1)),1)),1)-1),MID(M2,LEN(IFERROR(MID(MID(M2,SEARCH(" ",M2,1)+1,LEN(M2)-SEARCH(" ",M2,1)),1,SEARCH(" ",MID(M2,SEARCH(" ",M2,1)+1,LEN(M2)-SEARCH(" ",M2,1)),1)-1),MID(M2,LEN(MID(M2,1,SEARCH(" ",M2,1)-1))+2,LEN(M2)-LEN(MID(M2,1,SEARCH(" ",M2,1)-1))+1)))+LEN(IFERROR(MID(M2,1,SEARCH(" ",M2,1)-1),M2))+3,LEN(M2)-(LEN(IFERROR(MID(MID(M2,SEARCH(" ",M2,1)+1,LEN(M2)-SEARCH(" ",M2,1)),1,SEARCH(" ",MID(M2,SEARCH(" ",M2,1)+1,LEN(M2)-SEARCH(" ",M2,1)),1)-1),MID(M2,LEN(MID(M2,1,SEARCH(" ",M2,1)-1))+2,LEN(M2)-LEN(MID(M2,1,SEARCH(" ",M2,1)-1))+1)))+LEN(IFERROR(MID(M2,1,SEARCH(" ",M2,1)-1),M2))+2))))+LEN(IFERROR(MID(MID(M2,SEARCH(" ",M2,1)+1,LEN(M2)-SEARCH(" ",M2,1)),1,SEARCH(" ",MID(M2,SEARCH(" ",M2,1)+1,LEN(M2)-SEARCH(" ",M2,1)),1)-1),MID(M2,LEN(MID(M2,1,SEARCH(" ",M2,1)-1))+2,LEN(M2)-LEN(MID(M2,1,SEARCH(" ",M2,1)-1))+1)))+LEN(IFERROR(MID(M2,1,SEARCH(" ",M2,1)-1),M2))+3)))</f>
        <v>bianchi</v>
      </c>
      <c r="G2" s="1" t="e">
        <f>MID(MID(MID(MID(M2,SEARCH(" ",M2,1)+1,LEN(M2)-SEARCH(" ",M2,1)),SEARCH(" ",MID(M2,SEARCH(" ",M2,1)+1,LEN(M2)-SEARCH(" ",M2,1)),1)+1,LEN(MID(M2,SEARCH(" ",M2,1)+1,LEN(M2)-SEARCH(" ",M2,1)))-SEARCH(" ",MID(M2,SEARCH(" ",M2,1)+1,LEN(M2)-SEARCH(" ",M2,1)),1)),SEARCH(" ",MID(MID(M2,SEARCH(" ",M2,1)+1,LEN(M2)-SEARCH(" ",M2,1)),SEARCH(" ",MID(M2,SEARCH(" ",M2,1)+1,LEN(M2)-SEARCH(" ",M2,1)),1)+1,LEN(MID(M2,SEARCH(" ",M2,1)+1,LEN(M2)-SEARCH(" ",M2,1)))-SEARCH(" ",MID(M2,SEARCH(" ",M2,1)+1,LEN(M2)-SEARCH(" ",M2,1)),1)),1)+1,LEN(MID(MID(M2,SEARCH(" ",M2,1)+1,LEN(M2)-SEARCH(" ",M2,1)),SEARCH(" ",MID(M2,SEARCH(" ",M2,1)+1,LEN(M2)-SEARCH(" ",M2,1)),1)+1,LEN(MID(M2,SEARCH(" ",M2,1)+1,LEN(M2)-SEARCH(" ",M2,1)))-SEARCH(" ",MID(M2,SEARCH(" ",M2,1)+1,LEN(M2)-SEARCH(" ",M2,1)),1)))-SEARCH(" ",MID(MID(M2,SEARCH(" ",M2,1)+1,LEN(M2)-SEARCH(" ",M2,1)),SEARCH(" ",MID(M2,SEARCH(" ",M2,1)+1,LEN(M2)-SEARCH(" ",M2,1)),1)+1,LEN(MID(M2,SEARCH(" ",M2,1)+1,LEN(M2)-SEARCH(" ",M2,1)))-SEARCH(" ",MID(M2,SEARCH(" ",M2,1)+1,LEN(M2)-SEARCH(" ",M2,1)),1)),1)),SEARCH(" ",MID(MID(MID(M2,SEARCH(" ",M2,1)+1,LEN(M2)-SEARCH(" ",M2,1)),SEARCH(" ",MID(M2,SEARCH(" ",M2,1)+1,LEN(M2)-SEARCH(" ",M2,1)),1)+1,LEN(MID(M2,SEARCH(" ",M2,1)+1,LEN(M2)-SEARCH(" ",M2,1)))-SEARCH(" ",MID(M2,SEARCH(" ",M2,1)+1,LEN(M2)-SEARCH(" ",M2,1)),1)),SEARCH(" ",MID(MID(M2,SEARCH(" ",M2,1)+1,LEN(M2)-SEARCH(" ",M2,1)),SEARCH(" ",MID(M2,SEARCH(" ",M2,1)+1,LEN(M2)-SEARCH(" ",M2,1)),1)+1,LEN(MID(M2,SEARCH(" ",M2,1)+1,LEN(M2)-SEARCH(" ",M2,1)))-SEARCH(" ",MID(M2,SEARCH(" ",M2,1)+1,LEN(M2)-SEARCH(" ",M2,1)),1)),1)+1,LEN(MID(MID(M2,SEARCH(" ",M2,1)+1,LEN(M2)-SEARCH(" ",M2,1)),SEARCH(" ",MID(M2,SEARCH(" ",M2,1)+1,LEN(M2)-SEARCH(" ",M2,1)),1)+1,LEN(MID(M2,SEARCH(" ",M2,1)+1,LEN(M2)-SEARCH(" ",M2,1)))-SEARCH(" ",MID(M2,SEARCH(" ",M2,1)+1,LEN(M2)-SEARCH(" ",M2,1)),1)))-SEARCH(" ",MID(MID(M2,SEARCH(" ",M2,1)+1,LEN(M2)-SEARCH(" ",M2,1)),SEARCH(" ",MID(M2,SEARCH(" ",M2,1)+1,LEN(M2)-SEARCH(" ",M2,1)),1)+1,LEN(MID(M2,SEARCH(" ",M2,1)+1,LEN(M2)-SEARCH(" ",M2,1)))-SEARCH(" ",MID(M2,SEARCH(" ",M2,1)+1,LEN(M2)-SEARCH(" ",M2,1)),1)),1)),1)+1,LEN(MID(MID(MID(M2,SEARCH(" ",M2,1)+1,LEN(M2)-SEARCH(" ",M2,1)),SEARCH(" ",MID(M2,SEARCH(" ",M2,1)+1,LEN(M2)-SEARCH(" ",M2,1)),1)+1,LEN(MID(M2,SEARCH(" ",M2,1)+1,LEN(M2)-SEARCH(" ",M2,1)))-SEARCH(" ",MID(M2,SEARCH(" ",M2,1)+1,LEN(M2)-SEARCH(" ",M2,1)),1)),SEARCH(" ",MID(MID(M2,SEARCH(" ",M2,1)+1,LEN(M2)-SEARCH(" ",M2,1)),SEARCH(" ",MID(M2,SEARCH(" ",M2,1)+1,LEN(M2)-SEARCH(" ",M2,1)),1)+1,LEN(MID(M2,SEARCH(" ",M2,1)+1,LEN(M2)-SEARCH(" ",M2,1)))-SEARCH(" ",MID(M2,SEARCH(" ",M2,1)+1,LEN(M2)-SEARCH(" ",M2,1)),1)),1)+1,LEN(MID(MID(M2,SEARCH(" ",M2,1)+1,LEN(M2)-SEARCH(" ",M2,1)),SEARCH(" ",MID(M2,SEARCH(" ",M2,1)+1,LEN(M2)-SEARCH(" ",M2,1)),1)+1,LEN(MID(M2,SEARCH(" ",M2,1)+1,LEN(M2)-SEARCH(" ",M2,1)))-SEARCH(" ",MID(M2,SEARCH(" ",M2,1)+1,LEN(M2)-SEARCH(" ",M2,1)),1)))-SEARCH(" ",MID(MID(M2,SEARCH(" ",M2,1)+1,LEN(M2)-SEARCH(" ",M2,1)),SEARCH(" ",MID(M2,SEARCH(" ",M2,1)+1,LEN(M2)-SEARCH(" ",M2,1)),1)+1,LEN(MID(M2,SEARCH(" ",M2,1)+1,LEN(M2)-SEARCH(" ",M2,1)))-SEARCH(" ",MID(M2,SEARCH(" ",M2,1)+1,LEN(M2)-SEARCH(" ",M2,1)),1)),1)))-SEARCH(" ",MID(MID(MID(M2,SEARCH(" ",M2,1)+1,LEN(M2)-SEARCH(" ",M2,1)),SEARCH(" ",MID(M2,SEARCH(" ",M2,1)+1,LEN(M2)-SEARCH(" ",M2,1)),1)+1,LEN(MID(M2,SEARCH(" ",M2,1)+1,LEN(M2)-SEARCH(" ",M2,1)))-SEARCH(" ",MID(M2,SEARCH(" ",M2,1)+1,LEN(M2)-SEARCH(" ",M2,1)),1)),SEARCH(" ",MID(MID(M2,SEARCH(" ",M2,1)+1,LEN(M2)-SEARCH(" ",M2,1)),SEARCH(" ",MID(M2,SEARCH(" ",M2,1)+1,LEN(M2)-SEARCH(" ",M2,1)),1)+1,LEN(MID(M2,SEARCH(" ",M2,1)+1,LEN(M2)-SEARCH(" ",M2,1)))-SEARCH(" ",MID(M2,SEARCH(" ",M2,1)+1,LEN(M2)-SEARCH(" ",M2,1)),1)),1)+1,LEN(MID(MID(M2,SEARCH(" ",M2,1)+1,LEN(M2)-SEARCH(" ",M2,1)),SEARCH(" ",MID(M2,SEARCH(" ",M2,1)+1,LEN(M2)-SEARCH(" ",M2,1)),1)+1,LEN(MID(M2,SEARCH(" ",M2,1)+1,LEN(M2)-SEARCH(" ",M2,1)))-SEARCH(" ",MID(M2,SEARCH(" ",M2,1)+1,LEN(M2)-SEARCH(" ",M2,1)),1)))-SEARCH(" ",MID(MID(M2,SEARCH(" ",M2,1)+1,LEN(M2)-SEARCH(" ",M2,1)),SEARCH(" ",MID(M2,SEARCH(" ",M2,1)+1,LEN(M2)-SEARCH(" ",M2,1)),1)+1,LEN(MID(M2,SEARCH(" ",M2,1)+1,LEN(M2)-SEARCH(" ",M2,1)))-SEARCH(" ",MID(M2,SEARCH(" ",M2,1)+1,LEN(M2)-SEARCH(" ",M2,1)),1)),1)),1)+1)</f>
        <v>#VALUE!</v>
      </c>
      <c r="H2" s="1" t="str">
        <f>IFERROR(MID(N2,1,SEARCH(" ",N2,1)-1),N2)</f>
        <v>hugo</v>
      </c>
      <c r="I2" s="1" t="str">
        <f>IFERROR(MID(MID(N2,SEARCH(" ",N2,1)+1,LEN(N2)-SEARCH(" ",N2,1)),1,SEARCH(" ",MID(N2,SEARCH(" ",N2,1)+1,LEN(N2)-SEARCH(" ",N2,1)),1)-1),MID(N2,LEN(MID(N2,1,SEARCH(" ",N2,1)-1))+2,LEN(N2)-LEN(MID(N2,1,SEARCH(" ",N2,1)-1))+1))</f>
        <v>jahaziel</v>
      </c>
      <c r="J2" s="1" t="str">
        <f>IFERROR(MID(MID(MID(N2,SEARCH(" ",N2,1)+1,LEN(N2)-SEARCH(" ",N2,1)),SEARCH(" ",MID(N2,SEARCH(" ",N2,1)+1,LEN(N2)-SEARCH(" ",N2,1)),1)+1,LEN(MID(N2,SEARCH(" ",N2,1)+1,LEN(N2)-SEARCH(" ",N2,1)))-SEARCH(" ",MID(N2,SEARCH(" ",N2,1)+1,LEN(N2)-SEARCH(" ",N2,1)),1)),1,SEARCH(" ",MID(MID(N2,SEARCH(" ",N2,1)+1,LEN(N2)-SEARCH(" ",N2,1)),SEARCH(" ",MID(N2,SEARCH(" ",N2,1)+1,LEN(N2)-SEARCH(" ",N2,1)),1)+1,LEN(MID(N2,SEARCH(" ",N2,1)+1,LEN(N2)-SEARCH(" ",N2,1)))-SEARCH(" ",MID(N2,SEARCH(" ",N2,1)+1,LEN(N2)-SEARCH(" ",N2,1)),1)),1)-1),MID(N2,LEN(IFERROR(MID(MID(N2,SEARCH(" ",N2,1)+1,LEN(N2)-SEARCH(" ",N2,1)),1,SEARCH(" ",MID(N2,SEARCH(" ",N2,1)+1,LEN(N2)-SEARCH(" ",N2,1)),1)-1),MID(N2,LEN(MID(N2,1,SEARCH(" ",N2,1)-1))+2,LEN(N2)-LEN(MID(N2,1,SEARCH(" ",N2,1)-1))+1)))+LEN(IFERROR(MID(N2,1,SEARCH(" ",N2,1)-1),N2))+3,LEN(N2)-(LEN(IFERROR(MID(MID(N2,SEARCH(" ",N2,1)+1,LEN(N2)-SEARCH(" ",N2,1)),1,SEARCH(" ",MID(N2,SEARCH(" ",N2,1)+1,LEN(N2)-SEARCH(" ",N2,1)),1)-1),MID(N2,LEN(MID(N2,1,SEARCH(" ",N2,1)-1))+2,LEN(N2)-LEN(MID(N2,1,SEARCH(" ",N2,1)-1))+1)))+LEN(IFERROR(MID(N2,1,SEARCH(" ",N2,1)-1),N2))+2)))</f>
        <v>nieto</v>
      </c>
      <c r="K2" s="1" t="e">
        <f>IFERROR(MID(MID(MID(MID(N2,SEARCH(" ",N2,1)+1,LEN(N2)-SEARCH(" ",N2,1)),SEARCH(" ",MID(N2,SEARCH(" ",N2,1)+1,LEN(N2)-SEARCH(" ",N2,1)),1)+1,LEN(MID(N2,SEARCH(" ",N2,1)+1,LEN(N2)-SEARCH(" ",N2,1)))-SEARCH(" ",MID(N2,SEARCH(" ",N2,1)+1,LEN(N2)-SEARCH(" ",N2,1)),1)),SEARCH(" ",MID(MID(N2,SEARCH(" ",N2,1)+1,LEN(N2)-SEARCH(" ",N2,1)),SEARCH(" ",MID(N2,SEARCH(" ",N2,1)+1,LEN(N2)-SEARCH(" ",N2,1)),1)+1,LEN(MID(N2,SEARCH(" ",N2,1)+1,LEN(N2)-SEARCH(" ",N2,1)))-SEARCH(" ",MID(N2,SEARCH(" ",N2,1)+1,LEN(N2)-SEARCH(" ",N2,1)),1)),1)+1,LEN(MID(MID(N2,SEARCH(" ",N2,1)+1,LEN(N2)-SEARCH(" ",N2,1)),SEARCH(" ",MID(N2,SEARCH(" ",N2,1)+1,LEN(N2)-SEARCH(" ",N2,1)),1)+1,LEN(MID(N2,SEARCH(" ",N2,1)+1,LEN(N2)-SEARCH(" ",N2,1)))-SEARCH(" ",MID(N2,SEARCH(" ",N2,1)+1,LEN(N2)-SEARCH(" ",N2,1)),1)))-SEARCH(" ",MID(MID(N2,SEARCH(" ",N2,1)+1,LEN(N2)-SEARCH(" ",N2,1)),SEARCH(" ",MID(N2,SEARCH(" ",N2,1)+1,LEN(N2)-SEARCH(" ",N2,1)),1)+1,LEN(MID(N2,SEARCH(" ",N2,1)+1,LEN(N2)-SEARCH(" ",N2,1)))-SEARCH(" ",MID(N2,SEARCH(" ",N2,1)+1,LEN(N2)-SEARCH(" ",N2,1)),1)),1)),1,SEARCH(" ",MID(MID(MID(N2,SEARCH(" ",N2,1)+1,LEN(N2)-SEARCH(" ",N2,1)),SEARCH(" ",MID(N2,SEARCH(" ",N2,1)+1,LEN(N2)-SEARCH(" ",N2,1)),1)+1,LEN(MID(N2,SEARCH(" ",N2,1)+1,LEN(N2)-SEARCH(" ",N2,1)))-SEARCH(" ",MID(N2,SEARCH(" ",N2,1)+1,LEN(N2)-SEARCH(" ",N2,1)),1)),SEARCH(" ",MID(MID(N2,SEARCH(" ",N2,1)+1,LEN(N2)-SEARCH(" ",N2,1)),SEARCH(" ",MID(N2,SEARCH(" ",N2,1)+1,LEN(N2)-SEARCH(" ",N2,1)),1)+1,LEN(MID(N2,SEARCH(" ",N2,1)+1,LEN(N2)-SEARCH(" ",N2,1)))-SEARCH(" ",MID(N2,SEARCH(" ",N2,1)+1,LEN(N2)-SEARCH(" ",N2,1)),1)),1)+1,LEN(MID(MID(N2,SEARCH(" ",N2,1)+1,LEN(N2)-SEARCH(" ",N2,1)),SEARCH(" ",MID(N2,SEARCH(" ",N2,1)+1,LEN(N2)-SEARCH(" ",N2,1)),1)+1,LEN(MID(N2,SEARCH(" ",N2,1)+1,LEN(N2)-SEARCH(" ",N2,1)))-SEARCH(" ",MID(N2,SEARCH(" ",N2,1)+1,LEN(N2)-SEARCH(" ",N2,1)),1)))-SEARCH(" ",MID(MID(N2,SEARCH(" ",N2,1)+1,LEN(N2)-SEARCH(" ",N2,1)),SEARCH(" ",MID(N2,SEARCH(" ",N2,1)+1,LEN(N2)-SEARCH(" ",N2,1)),1)+1,LEN(MID(N2,SEARCH(" ",N2,1)+1,LEN(N2)-SEARCH(" ",N2,1)))-SEARCH(" ",MID(N2,SEARCH(" ",N2,1)+1,LEN(N2)-SEARCH(" ",N2,1)),1)),1)),1)-1),MID(N2,LEN(IFERROR(MID(MID(MID(N2,SEARCH(" ",N2,1)+1,LEN(N2)-SEARCH(" ",N2,1)),SEARCH(" ",MID(N2,SEARCH(" ",N2,1)+1,LEN(N2)-SEARCH(" ",N2,1)),1)+1,LEN(MID(N2,SEARCH(" ",N2,1)+1,LEN(N2)-SEARCH(" ",N2,1)))-SEARCH(" ",MID(N2,SEARCH(" ",N2,1)+1,LEN(N2)-SEARCH(" ",N2,1)),1)),1,SEARCH(" ",MID(MID(N2,SEARCH(" ",N2,1)+1,LEN(N2)-SEARCH(" ",N2,1)),SEARCH(" ",MID(N2,SEARCH(" ",N2,1)+1,LEN(N2)-SEARCH(" ",N2,1)),1)+1,LEN(MID(N2,SEARCH(" ",N2,1)+1,LEN(N2)-SEARCH(" ",N2,1)))-SEARCH(" ",MID(N2,SEARCH(" ",N2,1)+1,LEN(N2)-SEARCH(" ",N2,1)),1)),1)-1),MID(N2,LEN(IFERROR(MID(MID(N2,SEARCH(" ",N2,1)+1,LEN(N2)-SEARCH(" ",N2,1)),1,SEARCH(" ",MID(N2,SEARCH(" ",N2,1)+1,LEN(N2)-SEARCH(" ",N2,1)),1)-1),MID(N2,LEN(MID(N2,1,SEARCH(" ",N2,1)-1))+2,LEN(N2)-LEN(MID(N2,1,SEARCH(" ",N2,1)-1))+1)))+LEN(IFERROR(MID(N2,1,SEARCH(" ",N2,1)-1),N2))+3,LEN(N2)-(LEN(IFERROR(MID(MID(N2,SEARCH(" ",N2,1)+1,LEN(N2)-SEARCH(" ",N2,1)),1,SEARCH(" ",MID(N2,SEARCH(" ",N2,1)+1,LEN(N2)-SEARCH(" ",N2,1)),1)-1),MID(N2,LEN(MID(N2,1,SEARCH(" ",N2,1)-1))+2,LEN(N2)-LEN(MID(N2,1,SEARCH(" ",N2,1)-1))+1)))+LEN(IFERROR(MID(N2,1,SEARCH(" ",N2,1)-1),N2))+2))))+LEN(IFERROR(MID(MID(N2,SEARCH(" ",N2,1)+1,LEN(N2)-SEARCH(" ",N2,1)),1,SEARCH(" ",MID(N2,SEARCH(" ",N2,1)+1,LEN(N2)-SEARCH(" ",N2,1)),1)-1),MID(N2,LEN(MID(N2,1,SEARCH(" ",N2,1)-1))+2,LEN(N2)-LEN(MID(N2,1,SEARCH(" ",N2,1)-1))+1)))+LEN(IFERROR(MID(N2,1,SEARCH(" ",N2,1)-1),N2))+4,LEN(N2)-(LEN(IFERROR(MID(MID(MID(N2,SEARCH(" ",N2,1)+1,LEN(N2)-SEARCH(" ",N2,1)),SEARCH(" ",MID(N2,SEARCH(" ",N2,1)+1,LEN(N2)-SEARCH(" ",N2,1)),1)+1,LEN(MID(N2,SEARCH(" ",N2,1)+1,LEN(N2)-SEARCH(" ",N2,1)))-SEARCH(" ",MID(N2,SEARCH(" ",N2,1)+1,LEN(N2)-SEARCH(" ",N2,1)),1)),1,SEARCH(" ",MID(MID(N2,SEARCH(" ",N2,1)+1,LEN(N2)-SEARCH(" ",N2,1)),SEARCH(" ",MID(N2,SEARCH(" ",N2,1)+1,LEN(N2)-SEARCH(" ",N2,1)),1)+1,LEN(MID(N2,SEARCH(" ",N2,1)+1,LEN(N2)-SEARCH(" ",N2,1)))-SEARCH(" ",MID(N2,SEARCH(" ",N2,1)+1,LEN(N2)-SEARCH(" ",N2,1)),1)),1)-1),MID(N2,LEN(IFERROR(MID(MID(N2,SEARCH(" ",N2,1)+1,LEN(N2)-SEARCH(" ",N2,1)),1,SEARCH(" ",MID(N2,SEARCH(" ",N2,1)+1,LEN(N2)-SEARCH(" ",N2,1)),1)-1),MID(N2,LEN(MID(N2,1,SEARCH(" ",N2,1)-1))+2,LEN(N2)-LEN(MID(N2,1,SEARCH(" ",N2,1)-1))+1)))+LEN(IFERROR(MID(N2,1,SEARCH(" ",N2,1)-1),N2))+3,LEN(N2)-(LEN(IFERROR(MID(MID(N2,SEARCH(" ",N2,1)+1,LEN(N2)-SEARCH(" ",N2,1)),1,SEARCH(" ",MID(N2,SEARCH(" ",N2,1)+1,LEN(N2)-SEARCH(" ",N2,1)),1)-1),MID(N2,LEN(MID(N2,1,SEARCH(" ",N2,1)-1))+2,LEN(N2)-LEN(MID(N2,1,SEARCH(" ",N2,1)-1))+1)))+LEN(IFERROR(MID(N2,1,SEARCH(" ",N2,1)-1),N2))+2))))+LEN(IFERROR(MID(MID(N2,SEARCH(" ",N2,1)+1,LEN(N2)-SEARCH(" ",N2,1)),1,SEARCH(" ",MID(N2,SEARCH(" ",N2,1)+1,LEN(N2)-SEARCH(" ",N2,1)),1)-1),MID(N2,LEN(MID(N2,1,SEARCH(" ",N2,1)-1))+2,LEN(N2)-LEN(MID(N2,1,SEARCH(" ",N2,1)-1))+1)))+LEN(IFERROR(MID(N2,1,SEARCH(" ",N2,1)-1),N2))+3)))</f>
        <v>#VALUE!</v>
      </c>
      <c r="L2" s="1" t="e">
        <f>MID(MID(MID(MID(N2,SEARCH(" ",N2,1)+1,LEN(N2)-SEARCH(" ",N2,1)),SEARCH(" ",MID(N2,SEARCH(" ",N2,1)+1,LEN(N2)-SEARCH(" ",N2,1)),1)+1,LEN(MID(N2,SEARCH(" ",N2,1)+1,LEN(N2)-SEARCH(" ",N2,1)))-SEARCH(" ",MID(N2,SEARCH(" ",N2,1)+1,LEN(N2)-SEARCH(" ",N2,1)),1)),SEARCH(" ",MID(MID(N2,SEARCH(" ",N2,1)+1,LEN(N2)-SEARCH(" ",N2,1)),SEARCH(" ",MID(N2,SEARCH(" ",N2,1)+1,LEN(N2)-SEARCH(" ",N2,1)),1)+1,LEN(MID(N2,SEARCH(" ",N2,1)+1,LEN(N2)-SEARCH(" ",N2,1)))-SEARCH(" ",MID(N2,SEARCH(" ",N2,1)+1,LEN(N2)-SEARCH(" ",N2,1)),1)),1)+1,LEN(MID(MID(N2,SEARCH(" ",N2,1)+1,LEN(N2)-SEARCH(" ",N2,1)),SEARCH(" ",MID(N2,SEARCH(" ",N2,1)+1,LEN(N2)-SEARCH(" ",N2,1)),1)+1,LEN(MID(N2,SEARCH(" ",N2,1)+1,LEN(N2)-SEARCH(" ",N2,1)))-SEARCH(" ",MID(N2,SEARCH(" ",N2,1)+1,LEN(N2)-SEARCH(" ",N2,1)),1)))-SEARCH(" ",MID(MID(N2,SEARCH(" ",N2,1)+1,LEN(N2)-SEARCH(" ",N2,1)),SEARCH(" ",MID(N2,SEARCH(" ",N2,1)+1,LEN(N2)-SEARCH(" ",N2,1)),1)+1,LEN(MID(N2,SEARCH(" ",N2,1)+1,LEN(N2)-SEARCH(" ",N2,1)))-SEARCH(" ",MID(N2,SEARCH(" ",N2,1)+1,LEN(N2)-SEARCH(" ",N2,1)),1)),1)),SEARCH(" ",MID(MID(MID(N2,SEARCH(" ",N2,1)+1,LEN(N2)-SEARCH(" ",N2,1)),SEARCH(" ",MID(N2,SEARCH(" ",N2,1)+1,LEN(N2)-SEARCH(" ",N2,1)),1)+1,LEN(MID(N2,SEARCH(" ",N2,1)+1,LEN(N2)-SEARCH(" ",N2,1)))-SEARCH(" ",MID(N2,SEARCH(" ",N2,1)+1,LEN(N2)-SEARCH(" ",N2,1)),1)),SEARCH(" ",MID(MID(N2,SEARCH(" ",N2,1)+1,LEN(N2)-SEARCH(" ",N2,1)),SEARCH(" ",MID(N2,SEARCH(" ",N2,1)+1,LEN(N2)-SEARCH(" ",N2,1)),1)+1,LEN(MID(N2,SEARCH(" ",N2,1)+1,LEN(N2)-SEARCH(" ",N2,1)))-SEARCH(" ",MID(N2,SEARCH(" ",N2,1)+1,LEN(N2)-SEARCH(" ",N2,1)),1)),1)+1,LEN(MID(MID(N2,SEARCH(" ",N2,1)+1,LEN(N2)-SEARCH(" ",N2,1)),SEARCH(" ",MID(N2,SEARCH(" ",N2,1)+1,LEN(N2)-SEARCH(" ",N2,1)),1)+1,LEN(MID(N2,SEARCH(" ",N2,1)+1,LEN(N2)-SEARCH(" ",N2,1)))-SEARCH(" ",MID(N2,SEARCH(" ",N2,1)+1,LEN(N2)-SEARCH(" ",N2,1)),1)))-SEARCH(" ",MID(MID(N2,SEARCH(" ",N2,1)+1,LEN(N2)-SEARCH(" ",N2,1)),SEARCH(" ",MID(N2,SEARCH(" ",N2,1)+1,LEN(N2)-SEARCH(" ",N2,1)),1)+1,LEN(MID(N2,SEARCH(" ",N2,1)+1,LEN(N2)-SEARCH(" ",N2,1)))-SEARCH(" ",MID(N2,SEARCH(" ",N2,1)+1,LEN(N2)-SEARCH(" ",N2,1)),1)),1)),1)+1,LEN(MID(MID(MID(N2,SEARCH(" ",N2,1)+1,LEN(N2)-SEARCH(" ",N2,1)),SEARCH(" ",MID(N2,SEARCH(" ",N2,1)+1,LEN(N2)-SEARCH(" ",N2,1)),1)+1,LEN(MID(N2,SEARCH(" ",N2,1)+1,LEN(N2)-SEARCH(" ",N2,1)))-SEARCH(" ",MID(N2,SEARCH(" ",N2,1)+1,LEN(N2)-SEARCH(" ",N2,1)),1)),SEARCH(" ",MID(MID(N2,SEARCH(" ",N2,1)+1,LEN(N2)-SEARCH(" ",N2,1)),SEARCH(" ",MID(N2,SEARCH(" ",N2,1)+1,LEN(N2)-SEARCH(" ",N2,1)),1)+1,LEN(MID(N2,SEARCH(" ",N2,1)+1,LEN(N2)-SEARCH(" ",N2,1)))-SEARCH(" ",MID(N2,SEARCH(" ",N2,1)+1,LEN(N2)-SEARCH(" ",N2,1)),1)),1)+1,LEN(MID(MID(N2,SEARCH(" ",N2,1)+1,LEN(N2)-SEARCH(" ",N2,1)),SEARCH(" ",MID(N2,SEARCH(" ",N2,1)+1,LEN(N2)-SEARCH(" ",N2,1)),1)+1,LEN(MID(N2,SEARCH(" ",N2,1)+1,LEN(N2)-SEARCH(" ",N2,1)))-SEARCH(" ",MID(N2,SEARCH(" ",N2,1)+1,LEN(N2)-SEARCH(" ",N2,1)),1)))-SEARCH(" ",MID(MID(N2,SEARCH(" ",N2,1)+1,LEN(N2)-SEARCH(" ",N2,1)),SEARCH(" ",MID(N2,SEARCH(" ",N2,1)+1,LEN(N2)-SEARCH(" ",N2,1)),1)+1,LEN(MID(N2,SEARCH(" ",N2,1)+1,LEN(N2)-SEARCH(" ",N2,1)))-SEARCH(" ",MID(N2,SEARCH(" ",N2,1)+1,LEN(N2)-SEARCH(" ",N2,1)),1)),1)))-SEARCH(" ",MID(MID(MID(N2,SEARCH(" ",N2,1)+1,LEN(N2)-SEARCH(" ",N2,1)),SEARCH(" ",MID(N2,SEARCH(" ",N2,1)+1,LEN(N2)-SEARCH(" ",N2,1)),1)+1,LEN(MID(N2,SEARCH(" ",N2,1)+1,LEN(N2)-SEARCH(" ",N2,1)))-SEARCH(" ",MID(N2,SEARCH(" ",N2,1)+1,LEN(N2)-SEARCH(" ",N2,1)),1)),SEARCH(" ",MID(MID(N2,SEARCH(" ",N2,1)+1,LEN(N2)-SEARCH(" ",N2,1)),SEARCH(" ",MID(N2,SEARCH(" ",N2,1)+1,LEN(N2)-SEARCH(" ",N2,1)),1)+1,LEN(MID(N2,SEARCH(" ",N2,1)+1,LEN(N2)-SEARCH(" ",N2,1)))-SEARCH(" ",MID(N2,SEARCH(" ",N2,1)+1,LEN(N2)-SEARCH(" ",N2,1)),1)),1)+1,LEN(MID(MID(N2,SEARCH(" ",N2,1)+1,LEN(N2)-SEARCH(" ",N2,1)),SEARCH(" ",MID(N2,SEARCH(" ",N2,1)+1,LEN(N2)-SEARCH(" ",N2,1)),1)+1,LEN(MID(N2,SEARCH(" ",N2,1)+1,LEN(N2)-SEARCH(" ",N2,1)))-SEARCH(" ",MID(N2,SEARCH(" ",N2,1)+1,LEN(N2)-SEARCH(" ",N2,1)),1)))-SEARCH(" ",MID(MID(N2,SEARCH(" ",N2,1)+1,LEN(N2)-SEARCH(" ",N2,1)),SEARCH(" ",MID(N2,SEARCH(" ",N2,1)+1,LEN(N2)-SEARCH(" ",N2,1)),1)+1,LEN(MID(N2,SEARCH(" ",N2,1)+1,LEN(N2)-SEARCH(" ",N2,1)))-SEARCH(" ",MID(N2,SEARCH(" ",N2,1)+1,LEN(N2)-SEARCH(" ",N2,1)),1)),1)),1)+1)</f>
        <v>#VALUE!</v>
      </c>
      <c r="M2" s="1" t="s">
        <v>22</v>
      </c>
      <c r="N2" s="1" t="s">
        <v>23</v>
      </c>
    </row>
    <row r="3" spans="1:16" x14ac:dyDescent="0.35">
      <c r="B3" s="1" t="str">
        <f t="shared" ref="B3:B7" si="1">IF(M3=N3,"OK+++",IF(IFERROR(SEARCH(N3,M3),0)&gt;=1,"OK+++",IF(IFERROR(SEARCH(M3,N3),0)&gt;=1,"OK+++",IF((IF(ISERROR(SEARCH(C3,N3,1)),0,1)+IF(ISERROR(SEARCH(D3,N3,1)),0,1)+IF(ISERROR(SEARCH(E3,N3,1)),0,1)+IF(ISERROR(SEARCH(F3,N3,1)),0,1)+IF(ISERROR(SEARCH(G3,N3,1)),0,1))&gt;=4,"OK+++",IF((IF(ISERROR(SEARCH(H3,M3,1)),0,1)+IF(ISERROR(SEARCH(I3,M3,1)),0,1)+IF(ISERROR(SEARCH(J3,M3,1)),0,1)+IF(ISERROR(SEARCH(K3,M3,1)),0,1)+IF(ISERROR(SEARCH(L3,M3,1)),0,1))&gt;=4,"OK+++",IF((IF(ISERROR(SEARCH(C3,N3,1)),0,1)+IF(ISERROR(SEARCH(D3,N3,1)),0,1)+IF(ISERROR(SEARCH(E3,N3,1)),0,1)+IF(ISERROR(SEARCH(F3,N3,1)),0,1)+IF(ISERROR(SEARCH(G3,N3,1)),0,1))&gt;=3,"OK++",IF((IF(ISERROR(SEARCH(H3,M3,1)),0,1)+IF(ISERROR(SEARCH(I3,M3,1)),0,1)+IF(ISERROR(SEARCH(J3,M3,1)),0,1)+IF(ISERROR(SEARCH(K3,M3,1)),0,1)+IF(ISERROR(SEARCH(L3,M3,1)),0,1))&gt;=3,"OK++",IF((IF(ISERROR(SEARCH(C3,N3,1)),0,1)+IF(ISERROR(SEARCH(D3,N3,1)),0,1)+IF(ISERROR(SEARCH(E3,N3,1)),0,1)+IF(ISERROR(SEARCH(F3,N3,1)),0,1)+IF(ISERROR(SEARCH(G3,N3,1)),0,1))&gt;=2,"OK+",IF((IF(ISERROR(SEARCH(H3,M3,1)),0,1)+IF(ISERROR(SEARCH(I3,M3,1)),0,1)+IF(ISERROR(SEARCH(J3,M3,1)),0,1)+IF(ISERROR(SEARCH(K3,M3,1)),0,1)+IF(ISERROR(SEARCH(L3,M3,1)),0,1))&gt;=2,"OK+",IF((IF(ISERROR(SEARCH(C3,N3,1)),0,1)+IF(ISERROR(SEARCH(D3,N3,1)),0,1)+IF(ISERROR(SEARCH(E3,N3,1)),0,1)+IF(ISERROR(SEARCH(F3,N3,1)),0,1)+IF(ISERROR(SEARCH(G3,N3,1)),0,1))&gt;=1,"NO",IF((IF(ISERROR(SEARCH(H3,M3,1)),0,1)+IF(ISERROR(SEARCH(I3,M3,1)),0,1)+IF(ISERROR(SEARCH(J3,M3,1)),0,1)+IF(ISERROR(SEARCH(K3,M3,1)),0,1)+IF(ISERROR(SEARCH(L3,M3,1)),0,1))&gt;=1,"NO","NO")))))))))))</f>
        <v>OK++</v>
      </c>
      <c r="C3" s="1" t="str">
        <f t="shared" ref="C3:C7" si="2">IFERROR(MID(M3,1,SEARCH(" ",M3,1)-1),M3)</f>
        <v>hugo</v>
      </c>
      <c r="D3" s="1" t="str">
        <f t="shared" ref="D3:D7" si="3">IFERROR(MID(MID(M3,SEARCH(" ",M3,1)+1,LEN(M3)-SEARCH(" ",M3,1)),1,SEARCH(" ",MID(M3,SEARCH(" ",M3,1)+1,LEN(M3)-SEARCH(" ",M3,1)),1)-1),MID(M3,LEN(MID(M3,1,SEARCH(" ",M3,1)-1))+2,LEN(M3)-LEN(MID(M3,1,SEARCH(" ",M3,1)-1))+1))</f>
        <v>jahaziel</v>
      </c>
      <c r="E3" s="1" t="str">
        <f t="shared" ref="E3:E7" si="4">IFERROR(MID(MID(MID(M3,SEARCH(" ",M3,1)+1,LEN(M3)-SEARCH(" ",M3,1)),SEARCH(" ",MID(M3,SEARCH(" ",M3,1)+1,LEN(M3)-SEARCH(" ",M3,1)),1)+1,LEN(MID(M3,SEARCH(" ",M3,1)+1,LEN(M3)-SEARCH(" ",M3,1)))-SEARCH(" ",MID(M3,SEARCH(" ",M3,1)+1,LEN(M3)-SEARCH(" ",M3,1)),1)),1,SEARCH(" ",MID(MID(M3,SEARCH(" ",M3,1)+1,LEN(M3)-SEARCH(" ",M3,1)),SEARCH(" ",MID(M3,SEARCH(" ",M3,1)+1,LEN(M3)-SEARCH(" ",M3,1)),1)+1,LEN(MID(M3,SEARCH(" ",M3,1)+1,LEN(M3)-SEARCH(" ",M3,1)))-SEARCH(" ",MID(M3,SEARCH(" ",M3,1)+1,LEN(M3)-SEARCH(" ",M3,1)),1)),1)-1),MID(M3,LEN(IFERROR(MID(MID(M3,SEARCH(" ",M3,1)+1,LEN(M3)-SEARCH(" ",M3,1)),1,SEARCH(" ",MID(M3,SEARCH(" ",M3,1)+1,LEN(M3)-SEARCH(" ",M3,1)),1)-1),MID(M3,LEN(MID(M3,1,SEARCH(" ",M3,1)-1))+2,LEN(M3)-LEN(MID(M3,1,SEARCH(" ",M3,1)-1))+1)))+LEN(IFERROR(MID(M3,1,SEARCH(" ",M3,1)-1),M3))+3,LEN(M3)-(LEN(IFERROR(MID(MID(M3,SEARCH(" ",M3,1)+1,LEN(M3)-SEARCH(" ",M3,1)),1,SEARCH(" ",MID(M3,SEARCH(" ",M3,1)+1,LEN(M3)-SEARCH(" ",M3,1)),1)-1),MID(M3,LEN(MID(M3,1,SEARCH(" ",M3,1)-1))+2,LEN(M3)-LEN(MID(M3,1,SEARCH(" ",M3,1)-1))+1)))+LEN(IFERROR(MID(M3,1,SEARCH(" ",M3,1)-1),M3))+2)))</f>
        <v>nieto</v>
      </c>
      <c r="F3" s="1" t="str">
        <f t="shared" ref="F3:F7" si="5">IFERROR(MID(MID(MID(MID(M3,SEARCH(" ",M3,1)+1,LEN(M3)-SEARCH(" ",M3,1)),SEARCH(" ",MID(M3,SEARCH(" ",M3,1)+1,LEN(M3)-SEARCH(" ",M3,1)),1)+1,LEN(MID(M3,SEARCH(" ",M3,1)+1,LEN(M3)-SEARCH(" ",M3,1)))-SEARCH(" ",MID(M3,SEARCH(" ",M3,1)+1,LEN(M3)-SEARCH(" ",M3,1)),1)),SEARCH(" ",MID(MID(M3,SEARCH(" ",M3,1)+1,LEN(M3)-SEARCH(" ",M3,1)),SEARCH(" ",MID(M3,SEARCH(" ",M3,1)+1,LEN(M3)-SEARCH(" ",M3,1)),1)+1,LEN(MID(M3,SEARCH(" ",M3,1)+1,LEN(M3)-SEARCH(" ",M3,1)))-SEARCH(" ",MID(M3,SEARCH(" ",M3,1)+1,LEN(M3)-SEARCH(" ",M3,1)),1)),1)+1,LEN(MID(MID(M3,SEARCH(" ",M3,1)+1,LEN(M3)-SEARCH(" ",M3,1)),SEARCH(" ",MID(M3,SEARCH(" ",M3,1)+1,LEN(M3)-SEARCH(" ",M3,1)),1)+1,LEN(MID(M3,SEARCH(" ",M3,1)+1,LEN(M3)-SEARCH(" ",M3,1)))-SEARCH(" ",MID(M3,SEARCH(" ",M3,1)+1,LEN(M3)-SEARCH(" ",M3,1)),1)))-SEARCH(" ",MID(MID(M3,SEARCH(" ",M3,1)+1,LEN(M3)-SEARCH(" ",M3,1)),SEARCH(" ",MID(M3,SEARCH(" ",M3,1)+1,LEN(M3)-SEARCH(" ",M3,1)),1)+1,LEN(MID(M3,SEARCH(" ",M3,1)+1,LEN(M3)-SEARCH(" ",M3,1)))-SEARCH(" ",MID(M3,SEARCH(" ",M3,1)+1,LEN(M3)-SEARCH(" ",M3,1)),1)),1)),1,SEARCH(" ",MID(MID(MID(M3,SEARCH(" ",M3,1)+1,LEN(M3)-SEARCH(" ",M3,1)),SEARCH(" ",MID(M3,SEARCH(" ",M3,1)+1,LEN(M3)-SEARCH(" ",M3,1)),1)+1,LEN(MID(M3,SEARCH(" ",M3,1)+1,LEN(M3)-SEARCH(" ",M3,1)))-SEARCH(" ",MID(M3,SEARCH(" ",M3,1)+1,LEN(M3)-SEARCH(" ",M3,1)),1)),SEARCH(" ",MID(MID(M3,SEARCH(" ",M3,1)+1,LEN(M3)-SEARCH(" ",M3,1)),SEARCH(" ",MID(M3,SEARCH(" ",M3,1)+1,LEN(M3)-SEARCH(" ",M3,1)),1)+1,LEN(MID(M3,SEARCH(" ",M3,1)+1,LEN(M3)-SEARCH(" ",M3,1)))-SEARCH(" ",MID(M3,SEARCH(" ",M3,1)+1,LEN(M3)-SEARCH(" ",M3,1)),1)),1)+1,LEN(MID(MID(M3,SEARCH(" ",M3,1)+1,LEN(M3)-SEARCH(" ",M3,1)),SEARCH(" ",MID(M3,SEARCH(" ",M3,1)+1,LEN(M3)-SEARCH(" ",M3,1)),1)+1,LEN(MID(M3,SEARCH(" ",M3,1)+1,LEN(M3)-SEARCH(" ",M3,1)))-SEARCH(" ",MID(M3,SEARCH(" ",M3,1)+1,LEN(M3)-SEARCH(" ",M3,1)),1)))-SEARCH(" ",MID(MID(M3,SEARCH(" ",M3,1)+1,LEN(M3)-SEARCH(" ",M3,1)),SEARCH(" ",MID(M3,SEARCH(" ",M3,1)+1,LEN(M3)-SEARCH(" ",M3,1)),1)+1,LEN(MID(M3,SEARCH(" ",M3,1)+1,LEN(M3)-SEARCH(" ",M3,1)))-SEARCH(" ",MID(M3,SEARCH(" ",M3,1)+1,LEN(M3)-SEARCH(" ",M3,1)),1)),1)),1)-1),MID(M3,LEN(IFERROR(MID(MID(MID(M3,SEARCH(" ",M3,1)+1,LEN(M3)-SEARCH(" ",M3,1)),SEARCH(" ",MID(M3,SEARCH(" ",M3,1)+1,LEN(M3)-SEARCH(" ",M3,1)),1)+1,LEN(MID(M3,SEARCH(" ",M3,1)+1,LEN(M3)-SEARCH(" ",M3,1)))-SEARCH(" ",MID(M3,SEARCH(" ",M3,1)+1,LEN(M3)-SEARCH(" ",M3,1)),1)),1,SEARCH(" ",MID(MID(M3,SEARCH(" ",M3,1)+1,LEN(M3)-SEARCH(" ",M3,1)),SEARCH(" ",MID(M3,SEARCH(" ",M3,1)+1,LEN(M3)-SEARCH(" ",M3,1)),1)+1,LEN(MID(M3,SEARCH(" ",M3,1)+1,LEN(M3)-SEARCH(" ",M3,1)))-SEARCH(" ",MID(M3,SEARCH(" ",M3,1)+1,LEN(M3)-SEARCH(" ",M3,1)),1)),1)-1),MID(M3,LEN(IFERROR(MID(MID(M3,SEARCH(" ",M3,1)+1,LEN(M3)-SEARCH(" ",M3,1)),1,SEARCH(" ",MID(M3,SEARCH(" ",M3,1)+1,LEN(M3)-SEARCH(" ",M3,1)),1)-1),MID(M3,LEN(MID(M3,1,SEARCH(" ",M3,1)-1))+2,LEN(M3)-LEN(MID(M3,1,SEARCH(" ",M3,1)-1))+1)))+LEN(IFERROR(MID(M3,1,SEARCH(" ",M3,1)-1),M3))+3,LEN(M3)-(LEN(IFERROR(MID(MID(M3,SEARCH(" ",M3,1)+1,LEN(M3)-SEARCH(" ",M3,1)),1,SEARCH(" ",MID(M3,SEARCH(" ",M3,1)+1,LEN(M3)-SEARCH(" ",M3,1)),1)-1),MID(M3,LEN(MID(M3,1,SEARCH(" ",M3,1)-1))+2,LEN(M3)-LEN(MID(M3,1,SEARCH(" ",M3,1)-1))+1)))+LEN(IFERROR(MID(M3,1,SEARCH(" ",M3,1)-1),M3))+2))))+LEN(IFERROR(MID(MID(M3,SEARCH(" ",M3,1)+1,LEN(M3)-SEARCH(" ",M3,1)),1,SEARCH(" ",MID(M3,SEARCH(" ",M3,1)+1,LEN(M3)-SEARCH(" ",M3,1)),1)-1),MID(M3,LEN(MID(M3,1,SEARCH(" ",M3,1)-1))+2,LEN(M3)-LEN(MID(M3,1,SEARCH(" ",M3,1)-1))+1)))+LEN(IFERROR(MID(M3,1,SEARCH(" ",M3,1)-1),M3))+4,LEN(M3)-(LEN(IFERROR(MID(MID(MID(M3,SEARCH(" ",M3,1)+1,LEN(M3)-SEARCH(" ",M3,1)),SEARCH(" ",MID(M3,SEARCH(" ",M3,1)+1,LEN(M3)-SEARCH(" ",M3,1)),1)+1,LEN(MID(M3,SEARCH(" ",M3,1)+1,LEN(M3)-SEARCH(" ",M3,1)))-SEARCH(" ",MID(M3,SEARCH(" ",M3,1)+1,LEN(M3)-SEARCH(" ",M3,1)),1)),1,SEARCH(" ",MID(MID(M3,SEARCH(" ",M3,1)+1,LEN(M3)-SEARCH(" ",M3,1)),SEARCH(" ",MID(M3,SEARCH(" ",M3,1)+1,LEN(M3)-SEARCH(" ",M3,1)),1)+1,LEN(MID(M3,SEARCH(" ",M3,1)+1,LEN(M3)-SEARCH(" ",M3,1)))-SEARCH(" ",MID(M3,SEARCH(" ",M3,1)+1,LEN(M3)-SEARCH(" ",M3,1)),1)),1)-1),MID(M3,LEN(IFERROR(MID(MID(M3,SEARCH(" ",M3,1)+1,LEN(M3)-SEARCH(" ",M3,1)),1,SEARCH(" ",MID(M3,SEARCH(" ",M3,1)+1,LEN(M3)-SEARCH(" ",M3,1)),1)-1),MID(M3,LEN(MID(M3,1,SEARCH(" ",M3,1)-1))+2,LEN(M3)-LEN(MID(M3,1,SEARCH(" ",M3,1)-1))+1)))+LEN(IFERROR(MID(M3,1,SEARCH(" ",M3,1)-1),M3))+3,LEN(M3)-(LEN(IFERROR(MID(MID(M3,SEARCH(" ",M3,1)+1,LEN(M3)-SEARCH(" ",M3,1)),1,SEARCH(" ",MID(M3,SEARCH(" ",M3,1)+1,LEN(M3)-SEARCH(" ",M3,1)),1)-1),MID(M3,LEN(MID(M3,1,SEARCH(" ",M3,1)-1))+2,LEN(M3)-LEN(MID(M3,1,SEARCH(" ",M3,1)-1))+1)))+LEN(IFERROR(MID(M3,1,SEARCH(" ",M3,1)-1),M3))+2))))+LEN(IFERROR(MID(MID(M3,SEARCH(" ",M3,1)+1,LEN(M3)-SEARCH(" ",M3,1)),1,SEARCH(" ",MID(M3,SEARCH(" ",M3,1)+1,LEN(M3)-SEARCH(" ",M3,1)),1)-1),MID(M3,LEN(MID(M3,1,SEARCH(" ",M3,1)-1))+2,LEN(M3)-LEN(MID(M3,1,SEARCH(" ",M3,1)-1))+1)))+LEN(IFERROR(MID(M3,1,SEARCH(" ",M3,1)-1),M3))+3)))</f>
        <v>bianchi</v>
      </c>
      <c r="G3" s="1" t="e">
        <f t="shared" ref="G3:G7" si="6">MID(MID(MID(MID(M3,SEARCH(" ",M3,1)+1,LEN(M3)-SEARCH(" ",M3,1)),SEARCH(" ",MID(M3,SEARCH(" ",M3,1)+1,LEN(M3)-SEARCH(" ",M3,1)),1)+1,LEN(MID(M3,SEARCH(" ",M3,1)+1,LEN(M3)-SEARCH(" ",M3,1)))-SEARCH(" ",MID(M3,SEARCH(" ",M3,1)+1,LEN(M3)-SEARCH(" ",M3,1)),1)),SEARCH(" ",MID(MID(M3,SEARCH(" ",M3,1)+1,LEN(M3)-SEARCH(" ",M3,1)),SEARCH(" ",MID(M3,SEARCH(" ",M3,1)+1,LEN(M3)-SEARCH(" ",M3,1)),1)+1,LEN(MID(M3,SEARCH(" ",M3,1)+1,LEN(M3)-SEARCH(" ",M3,1)))-SEARCH(" ",MID(M3,SEARCH(" ",M3,1)+1,LEN(M3)-SEARCH(" ",M3,1)),1)),1)+1,LEN(MID(MID(M3,SEARCH(" ",M3,1)+1,LEN(M3)-SEARCH(" ",M3,1)),SEARCH(" ",MID(M3,SEARCH(" ",M3,1)+1,LEN(M3)-SEARCH(" ",M3,1)),1)+1,LEN(MID(M3,SEARCH(" ",M3,1)+1,LEN(M3)-SEARCH(" ",M3,1)))-SEARCH(" ",MID(M3,SEARCH(" ",M3,1)+1,LEN(M3)-SEARCH(" ",M3,1)),1)))-SEARCH(" ",MID(MID(M3,SEARCH(" ",M3,1)+1,LEN(M3)-SEARCH(" ",M3,1)),SEARCH(" ",MID(M3,SEARCH(" ",M3,1)+1,LEN(M3)-SEARCH(" ",M3,1)),1)+1,LEN(MID(M3,SEARCH(" ",M3,1)+1,LEN(M3)-SEARCH(" ",M3,1)))-SEARCH(" ",MID(M3,SEARCH(" ",M3,1)+1,LEN(M3)-SEARCH(" ",M3,1)),1)),1)),SEARCH(" ",MID(MID(MID(M3,SEARCH(" ",M3,1)+1,LEN(M3)-SEARCH(" ",M3,1)),SEARCH(" ",MID(M3,SEARCH(" ",M3,1)+1,LEN(M3)-SEARCH(" ",M3,1)),1)+1,LEN(MID(M3,SEARCH(" ",M3,1)+1,LEN(M3)-SEARCH(" ",M3,1)))-SEARCH(" ",MID(M3,SEARCH(" ",M3,1)+1,LEN(M3)-SEARCH(" ",M3,1)),1)),SEARCH(" ",MID(MID(M3,SEARCH(" ",M3,1)+1,LEN(M3)-SEARCH(" ",M3,1)),SEARCH(" ",MID(M3,SEARCH(" ",M3,1)+1,LEN(M3)-SEARCH(" ",M3,1)),1)+1,LEN(MID(M3,SEARCH(" ",M3,1)+1,LEN(M3)-SEARCH(" ",M3,1)))-SEARCH(" ",MID(M3,SEARCH(" ",M3,1)+1,LEN(M3)-SEARCH(" ",M3,1)),1)),1)+1,LEN(MID(MID(M3,SEARCH(" ",M3,1)+1,LEN(M3)-SEARCH(" ",M3,1)),SEARCH(" ",MID(M3,SEARCH(" ",M3,1)+1,LEN(M3)-SEARCH(" ",M3,1)),1)+1,LEN(MID(M3,SEARCH(" ",M3,1)+1,LEN(M3)-SEARCH(" ",M3,1)))-SEARCH(" ",MID(M3,SEARCH(" ",M3,1)+1,LEN(M3)-SEARCH(" ",M3,1)),1)))-SEARCH(" ",MID(MID(M3,SEARCH(" ",M3,1)+1,LEN(M3)-SEARCH(" ",M3,1)),SEARCH(" ",MID(M3,SEARCH(" ",M3,1)+1,LEN(M3)-SEARCH(" ",M3,1)),1)+1,LEN(MID(M3,SEARCH(" ",M3,1)+1,LEN(M3)-SEARCH(" ",M3,1)))-SEARCH(" ",MID(M3,SEARCH(" ",M3,1)+1,LEN(M3)-SEARCH(" ",M3,1)),1)),1)),1)+1,LEN(MID(MID(MID(M3,SEARCH(" ",M3,1)+1,LEN(M3)-SEARCH(" ",M3,1)),SEARCH(" ",MID(M3,SEARCH(" ",M3,1)+1,LEN(M3)-SEARCH(" ",M3,1)),1)+1,LEN(MID(M3,SEARCH(" ",M3,1)+1,LEN(M3)-SEARCH(" ",M3,1)))-SEARCH(" ",MID(M3,SEARCH(" ",M3,1)+1,LEN(M3)-SEARCH(" ",M3,1)),1)),SEARCH(" ",MID(MID(M3,SEARCH(" ",M3,1)+1,LEN(M3)-SEARCH(" ",M3,1)),SEARCH(" ",MID(M3,SEARCH(" ",M3,1)+1,LEN(M3)-SEARCH(" ",M3,1)),1)+1,LEN(MID(M3,SEARCH(" ",M3,1)+1,LEN(M3)-SEARCH(" ",M3,1)))-SEARCH(" ",MID(M3,SEARCH(" ",M3,1)+1,LEN(M3)-SEARCH(" ",M3,1)),1)),1)+1,LEN(MID(MID(M3,SEARCH(" ",M3,1)+1,LEN(M3)-SEARCH(" ",M3,1)),SEARCH(" ",MID(M3,SEARCH(" ",M3,1)+1,LEN(M3)-SEARCH(" ",M3,1)),1)+1,LEN(MID(M3,SEARCH(" ",M3,1)+1,LEN(M3)-SEARCH(" ",M3,1)))-SEARCH(" ",MID(M3,SEARCH(" ",M3,1)+1,LEN(M3)-SEARCH(" ",M3,1)),1)))-SEARCH(" ",MID(MID(M3,SEARCH(" ",M3,1)+1,LEN(M3)-SEARCH(" ",M3,1)),SEARCH(" ",MID(M3,SEARCH(" ",M3,1)+1,LEN(M3)-SEARCH(" ",M3,1)),1)+1,LEN(MID(M3,SEARCH(" ",M3,1)+1,LEN(M3)-SEARCH(" ",M3,1)))-SEARCH(" ",MID(M3,SEARCH(" ",M3,1)+1,LEN(M3)-SEARCH(" ",M3,1)),1)),1)))-SEARCH(" ",MID(MID(MID(M3,SEARCH(" ",M3,1)+1,LEN(M3)-SEARCH(" ",M3,1)),SEARCH(" ",MID(M3,SEARCH(" ",M3,1)+1,LEN(M3)-SEARCH(" ",M3,1)),1)+1,LEN(MID(M3,SEARCH(" ",M3,1)+1,LEN(M3)-SEARCH(" ",M3,1)))-SEARCH(" ",MID(M3,SEARCH(" ",M3,1)+1,LEN(M3)-SEARCH(" ",M3,1)),1)),SEARCH(" ",MID(MID(M3,SEARCH(" ",M3,1)+1,LEN(M3)-SEARCH(" ",M3,1)),SEARCH(" ",MID(M3,SEARCH(" ",M3,1)+1,LEN(M3)-SEARCH(" ",M3,1)),1)+1,LEN(MID(M3,SEARCH(" ",M3,1)+1,LEN(M3)-SEARCH(" ",M3,1)))-SEARCH(" ",MID(M3,SEARCH(" ",M3,1)+1,LEN(M3)-SEARCH(" ",M3,1)),1)),1)+1,LEN(MID(MID(M3,SEARCH(" ",M3,1)+1,LEN(M3)-SEARCH(" ",M3,1)),SEARCH(" ",MID(M3,SEARCH(" ",M3,1)+1,LEN(M3)-SEARCH(" ",M3,1)),1)+1,LEN(MID(M3,SEARCH(" ",M3,1)+1,LEN(M3)-SEARCH(" ",M3,1)))-SEARCH(" ",MID(M3,SEARCH(" ",M3,1)+1,LEN(M3)-SEARCH(" ",M3,1)),1)))-SEARCH(" ",MID(MID(M3,SEARCH(" ",M3,1)+1,LEN(M3)-SEARCH(" ",M3,1)),SEARCH(" ",MID(M3,SEARCH(" ",M3,1)+1,LEN(M3)-SEARCH(" ",M3,1)),1)+1,LEN(MID(M3,SEARCH(" ",M3,1)+1,LEN(M3)-SEARCH(" ",M3,1)))-SEARCH(" ",MID(M3,SEARCH(" ",M3,1)+1,LEN(M3)-SEARCH(" ",M3,1)),1)),1)),1)+1)</f>
        <v>#VALUE!</v>
      </c>
      <c r="H3" s="1" t="str">
        <f t="shared" ref="H3:H7" si="7">IFERROR(MID(N3,1,SEARCH(" ",N3,1)-1),N3)</f>
        <v>hugo</v>
      </c>
      <c r="I3" s="1" t="str">
        <f t="shared" ref="I3:I7" si="8">IFERROR(MID(MID(N3,SEARCH(" ",N3,1)+1,LEN(N3)-SEARCH(" ",N3,1)),1,SEARCH(" ",MID(N3,SEARCH(" ",N3,1)+1,LEN(N3)-SEARCH(" ",N3,1)),1)-1),MID(N3,LEN(MID(N3,1,SEARCH(" ",N3,1)-1))+2,LEN(N3)-LEN(MID(N3,1,SEARCH(" ",N3,1)-1))+1))</f>
        <v>nieto</v>
      </c>
      <c r="J3" s="1" t="str">
        <f t="shared" ref="J3:J7" si="9">IFERROR(MID(MID(MID(N3,SEARCH(" ",N3,1)+1,LEN(N3)-SEARCH(" ",N3,1)),SEARCH(" ",MID(N3,SEARCH(" ",N3,1)+1,LEN(N3)-SEARCH(" ",N3,1)),1)+1,LEN(MID(N3,SEARCH(" ",N3,1)+1,LEN(N3)-SEARCH(" ",N3,1)))-SEARCH(" ",MID(N3,SEARCH(" ",N3,1)+1,LEN(N3)-SEARCH(" ",N3,1)),1)),1,SEARCH(" ",MID(MID(N3,SEARCH(" ",N3,1)+1,LEN(N3)-SEARCH(" ",N3,1)),SEARCH(" ",MID(N3,SEARCH(" ",N3,1)+1,LEN(N3)-SEARCH(" ",N3,1)),1)+1,LEN(MID(N3,SEARCH(" ",N3,1)+1,LEN(N3)-SEARCH(" ",N3,1)))-SEARCH(" ",MID(N3,SEARCH(" ",N3,1)+1,LEN(N3)-SEARCH(" ",N3,1)),1)),1)-1),MID(N3,LEN(IFERROR(MID(MID(N3,SEARCH(" ",N3,1)+1,LEN(N3)-SEARCH(" ",N3,1)),1,SEARCH(" ",MID(N3,SEARCH(" ",N3,1)+1,LEN(N3)-SEARCH(" ",N3,1)),1)-1),MID(N3,LEN(MID(N3,1,SEARCH(" ",N3,1)-1))+2,LEN(N3)-LEN(MID(N3,1,SEARCH(" ",N3,1)-1))+1)))+LEN(IFERROR(MID(N3,1,SEARCH(" ",N3,1)-1),N3))+3,LEN(N3)-(LEN(IFERROR(MID(MID(N3,SEARCH(" ",N3,1)+1,LEN(N3)-SEARCH(" ",N3,1)),1,SEARCH(" ",MID(N3,SEARCH(" ",N3,1)+1,LEN(N3)-SEARCH(" ",N3,1)),1)-1),MID(N3,LEN(MID(N3,1,SEARCH(" ",N3,1)-1))+2,LEN(N3)-LEN(MID(N3,1,SEARCH(" ",N3,1)-1))+1)))+LEN(IFERROR(MID(N3,1,SEARCH(" ",N3,1)-1),N3))+2)))</f>
        <v>bianchi</v>
      </c>
      <c r="K3" s="1" t="e">
        <f t="shared" ref="K3:K7" si="10">IFERROR(MID(MID(MID(MID(N3,SEARCH(" ",N3,1)+1,LEN(N3)-SEARCH(" ",N3,1)),SEARCH(" ",MID(N3,SEARCH(" ",N3,1)+1,LEN(N3)-SEARCH(" ",N3,1)),1)+1,LEN(MID(N3,SEARCH(" ",N3,1)+1,LEN(N3)-SEARCH(" ",N3,1)))-SEARCH(" ",MID(N3,SEARCH(" ",N3,1)+1,LEN(N3)-SEARCH(" ",N3,1)),1)),SEARCH(" ",MID(MID(N3,SEARCH(" ",N3,1)+1,LEN(N3)-SEARCH(" ",N3,1)),SEARCH(" ",MID(N3,SEARCH(" ",N3,1)+1,LEN(N3)-SEARCH(" ",N3,1)),1)+1,LEN(MID(N3,SEARCH(" ",N3,1)+1,LEN(N3)-SEARCH(" ",N3,1)))-SEARCH(" ",MID(N3,SEARCH(" ",N3,1)+1,LEN(N3)-SEARCH(" ",N3,1)),1)),1)+1,LEN(MID(MID(N3,SEARCH(" ",N3,1)+1,LEN(N3)-SEARCH(" ",N3,1)),SEARCH(" ",MID(N3,SEARCH(" ",N3,1)+1,LEN(N3)-SEARCH(" ",N3,1)),1)+1,LEN(MID(N3,SEARCH(" ",N3,1)+1,LEN(N3)-SEARCH(" ",N3,1)))-SEARCH(" ",MID(N3,SEARCH(" ",N3,1)+1,LEN(N3)-SEARCH(" ",N3,1)),1)))-SEARCH(" ",MID(MID(N3,SEARCH(" ",N3,1)+1,LEN(N3)-SEARCH(" ",N3,1)),SEARCH(" ",MID(N3,SEARCH(" ",N3,1)+1,LEN(N3)-SEARCH(" ",N3,1)),1)+1,LEN(MID(N3,SEARCH(" ",N3,1)+1,LEN(N3)-SEARCH(" ",N3,1)))-SEARCH(" ",MID(N3,SEARCH(" ",N3,1)+1,LEN(N3)-SEARCH(" ",N3,1)),1)),1)),1,SEARCH(" ",MID(MID(MID(N3,SEARCH(" ",N3,1)+1,LEN(N3)-SEARCH(" ",N3,1)),SEARCH(" ",MID(N3,SEARCH(" ",N3,1)+1,LEN(N3)-SEARCH(" ",N3,1)),1)+1,LEN(MID(N3,SEARCH(" ",N3,1)+1,LEN(N3)-SEARCH(" ",N3,1)))-SEARCH(" ",MID(N3,SEARCH(" ",N3,1)+1,LEN(N3)-SEARCH(" ",N3,1)),1)),SEARCH(" ",MID(MID(N3,SEARCH(" ",N3,1)+1,LEN(N3)-SEARCH(" ",N3,1)),SEARCH(" ",MID(N3,SEARCH(" ",N3,1)+1,LEN(N3)-SEARCH(" ",N3,1)),1)+1,LEN(MID(N3,SEARCH(" ",N3,1)+1,LEN(N3)-SEARCH(" ",N3,1)))-SEARCH(" ",MID(N3,SEARCH(" ",N3,1)+1,LEN(N3)-SEARCH(" ",N3,1)),1)),1)+1,LEN(MID(MID(N3,SEARCH(" ",N3,1)+1,LEN(N3)-SEARCH(" ",N3,1)),SEARCH(" ",MID(N3,SEARCH(" ",N3,1)+1,LEN(N3)-SEARCH(" ",N3,1)),1)+1,LEN(MID(N3,SEARCH(" ",N3,1)+1,LEN(N3)-SEARCH(" ",N3,1)))-SEARCH(" ",MID(N3,SEARCH(" ",N3,1)+1,LEN(N3)-SEARCH(" ",N3,1)),1)))-SEARCH(" ",MID(MID(N3,SEARCH(" ",N3,1)+1,LEN(N3)-SEARCH(" ",N3,1)),SEARCH(" ",MID(N3,SEARCH(" ",N3,1)+1,LEN(N3)-SEARCH(" ",N3,1)),1)+1,LEN(MID(N3,SEARCH(" ",N3,1)+1,LEN(N3)-SEARCH(" ",N3,1)))-SEARCH(" ",MID(N3,SEARCH(" ",N3,1)+1,LEN(N3)-SEARCH(" ",N3,1)),1)),1)),1)-1),MID(N3,LEN(IFERROR(MID(MID(MID(N3,SEARCH(" ",N3,1)+1,LEN(N3)-SEARCH(" ",N3,1)),SEARCH(" ",MID(N3,SEARCH(" ",N3,1)+1,LEN(N3)-SEARCH(" ",N3,1)),1)+1,LEN(MID(N3,SEARCH(" ",N3,1)+1,LEN(N3)-SEARCH(" ",N3,1)))-SEARCH(" ",MID(N3,SEARCH(" ",N3,1)+1,LEN(N3)-SEARCH(" ",N3,1)),1)),1,SEARCH(" ",MID(MID(N3,SEARCH(" ",N3,1)+1,LEN(N3)-SEARCH(" ",N3,1)),SEARCH(" ",MID(N3,SEARCH(" ",N3,1)+1,LEN(N3)-SEARCH(" ",N3,1)),1)+1,LEN(MID(N3,SEARCH(" ",N3,1)+1,LEN(N3)-SEARCH(" ",N3,1)))-SEARCH(" ",MID(N3,SEARCH(" ",N3,1)+1,LEN(N3)-SEARCH(" ",N3,1)),1)),1)-1),MID(N3,LEN(IFERROR(MID(MID(N3,SEARCH(" ",N3,1)+1,LEN(N3)-SEARCH(" ",N3,1)),1,SEARCH(" ",MID(N3,SEARCH(" ",N3,1)+1,LEN(N3)-SEARCH(" ",N3,1)),1)-1),MID(N3,LEN(MID(N3,1,SEARCH(" ",N3,1)-1))+2,LEN(N3)-LEN(MID(N3,1,SEARCH(" ",N3,1)-1))+1)))+LEN(IFERROR(MID(N3,1,SEARCH(" ",N3,1)-1),N3))+3,LEN(N3)-(LEN(IFERROR(MID(MID(N3,SEARCH(" ",N3,1)+1,LEN(N3)-SEARCH(" ",N3,1)),1,SEARCH(" ",MID(N3,SEARCH(" ",N3,1)+1,LEN(N3)-SEARCH(" ",N3,1)),1)-1),MID(N3,LEN(MID(N3,1,SEARCH(" ",N3,1)-1))+2,LEN(N3)-LEN(MID(N3,1,SEARCH(" ",N3,1)-1))+1)))+LEN(IFERROR(MID(N3,1,SEARCH(" ",N3,1)-1),N3))+2))))+LEN(IFERROR(MID(MID(N3,SEARCH(" ",N3,1)+1,LEN(N3)-SEARCH(" ",N3,1)),1,SEARCH(" ",MID(N3,SEARCH(" ",N3,1)+1,LEN(N3)-SEARCH(" ",N3,1)),1)-1),MID(N3,LEN(MID(N3,1,SEARCH(" ",N3,1)-1))+2,LEN(N3)-LEN(MID(N3,1,SEARCH(" ",N3,1)-1))+1)))+LEN(IFERROR(MID(N3,1,SEARCH(" ",N3,1)-1),N3))+4,LEN(N3)-(LEN(IFERROR(MID(MID(MID(N3,SEARCH(" ",N3,1)+1,LEN(N3)-SEARCH(" ",N3,1)),SEARCH(" ",MID(N3,SEARCH(" ",N3,1)+1,LEN(N3)-SEARCH(" ",N3,1)),1)+1,LEN(MID(N3,SEARCH(" ",N3,1)+1,LEN(N3)-SEARCH(" ",N3,1)))-SEARCH(" ",MID(N3,SEARCH(" ",N3,1)+1,LEN(N3)-SEARCH(" ",N3,1)),1)),1,SEARCH(" ",MID(MID(N3,SEARCH(" ",N3,1)+1,LEN(N3)-SEARCH(" ",N3,1)),SEARCH(" ",MID(N3,SEARCH(" ",N3,1)+1,LEN(N3)-SEARCH(" ",N3,1)),1)+1,LEN(MID(N3,SEARCH(" ",N3,1)+1,LEN(N3)-SEARCH(" ",N3,1)))-SEARCH(" ",MID(N3,SEARCH(" ",N3,1)+1,LEN(N3)-SEARCH(" ",N3,1)),1)),1)-1),MID(N3,LEN(IFERROR(MID(MID(N3,SEARCH(" ",N3,1)+1,LEN(N3)-SEARCH(" ",N3,1)),1,SEARCH(" ",MID(N3,SEARCH(" ",N3,1)+1,LEN(N3)-SEARCH(" ",N3,1)),1)-1),MID(N3,LEN(MID(N3,1,SEARCH(" ",N3,1)-1))+2,LEN(N3)-LEN(MID(N3,1,SEARCH(" ",N3,1)-1))+1)))+LEN(IFERROR(MID(N3,1,SEARCH(" ",N3,1)-1),N3))+3,LEN(N3)-(LEN(IFERROR(MID(MID(N3,SEARCH(" ",N3,1)+1,LEN(N3)-SEARCH(" ",N3,1)),1,SEARCH(" ",MID(N3,SEARCH(" ",N3,1)+1,LEN(N3)-SEARCH(" ",N3,1)),1)-1),MID(N3,LEN(MID(N3,1,SEARCH(" ",N3,1)-1))+2,LEN(N3)-LEN(MID(N3,1,SEARCH(" ",N3,1)-1))+1)))+LEN(IFERROR(MID(N3,1,SEARCH(" ",N3,1)-1),N3))+2))))+LEN(IFERROR(MID(MID(N3,SEARCH(" ",N3,1)+1,LEN(N3)-SEARCH(" ",N3,1)),1,SEARCH(" ",MID(N3,SEARCH(" ",N3,1)+1,LEN(N3)-SEARCH(" ",N3,1)),1)-1),MID(N3,LEN(MID(N3,1,SEARCH(" ",N3,1)-1))+2,LEN(N3)-LEN(MID(N3,1,SEARCH(" ",N3,1)-1))+1)))+LEN(IFERROR(MID(N3,1,SEARCH(" ",N3,1)-1),N3))+3)))</f>
        <v>#VALUE!</v>
      </c>
      <c r="L3" s="1" t="e">
        <f t="shared" ref="L3:L7" si="11">MID(MID(MID(MID(N3,SEARCH(" ",N3,1)+1,LEN(N3)-SEARCH(" ",N3,1)),SEARCH(" ",MID(N3,SEARCH(" ",N3,1)+1,LEN(N3)-SEARCH(" ",N3,1)),1)+1,LEN(MID(N3,SEARCH(" ",N3,1)+1,LEN(N3)-SEARCH(" ",N3,1)))-SEARCH(" ",MID(N3,SEARCH(" ",N3,1)+1,LEN(N3)-SEARCH(" ",N3,1)),1)),SEARCH(" ",MID(MID(N3,SEARCH(" ",N3,1)+1,LEN(N3)-SEARCH(" ",N3,1)),SEARCH(" ",MID(N3,SEARCH(" ",N3,1)+1,LEN(N3)-SEARCH(" ",N3,1)),1)+1,LEN(MID(N3,SEARCH(" ",N3,1)+1,LEN(N3)-SEARCH(" ",N3,1)))-SEARCH(" ",MID(N3,SEARCH(" ",N3,1)+1,LEN(N3)-SEARCH(" ",N3,1)),1)),1)+1,LEN(MID(MID(N3,SEARCH(" ",N3,1)+1,LEN(N3)-SEARCH(" ",N3,1)),SEARCH(" ",MID(N3,SEARCH(" ",N3,1)+1,LEN(N3)-SEARCH(" ",N3,1)),1)+1,LEN(MID(N3,SEARCH(" ",N3,1)+1,LEN(N3)-SEARCH(" ",N3,1)))-SEARCH(" ",MID(N3,SEARCH(" ",N3,1)+1,LEN(N3)-SEARCH(" ",N3,1)),1)))-SEARCH(" ",MID(MID(N3,SEARCH(" ",N3,1)+1,LEN(N3)-SEARCH(" ",N3,1)),SEARCH(" ",MID(N3,SEARCH(" ",N3,1)+1,LEN(N3)-SEARCH(" ",N3,1)),1)+1,LEN(MID(N3,SEARCH(" ",N3,1)+1,LEN(N3)-SEARCH(" ",N3,1)))-SEARCH(" ",MID(N3,SEARCH(" ",N3,1)+1,LEN(N3)-SEARCH(" ",N3,1)),1)),1)),SEARCH(" ",MID(MID(MID(N3,SEARCH(" ",N3,1)+1,LEN(N3)-SEARCH(" ",N3,1)),SEARCH(" ",MID(N3,SEARCH(" ",N3,1)+1,LEN(N3)-SEARCH(" ",N3,1)),1)+1,LEN(MID(N3,SEARCH(" ",N3,1)+1,LEN(N3)-SEARCH(" ",N3,1)))-SEARCH(" ",MID(N3,SEARCH(" ",N3,1)+1,LEN(N3)-SEARCH(" ",N3,1)),1)),SEARCH(" ",MID(MID(N3,SEARCH(" ",N3,1)+1,LEN(N3)-SEARCH(" ",N3,1)),SEARCH(" ",MID(N3,SEARCH(" ",N3,1)+1,LEN(N3)-SEARCH(" ",N3,1)),1)+1,LEN(MID(N3,SEARCH(" ",N3,1)+1,LEN(N3)-SEARCH(" ",N3,1)))-SEARCH(" ",MID(N3,SEARCH(" ",N3,1)+1,LEN(N3)-SEARCH(" ",N3,1)),1)),1)+1,LEN(MID(MID(N3,SEARCH(" ",N3,1)+1,LEN(N3)-SEARCH(" ",N3,1)),SEARCH(" ",MID(N3,SEARCH(" ",N3,1)+1,LEN(N3)-SEARCH(" ",N3,1)),1)+1,LEN(MID(N3,SEARCH(" ",N3,1)+1,LEN(N3)-SEARCH(" ",N3,1)))-SEARCH(" ",MID(N3,SEARCH(" ",N3,1)+1,LEN(N3)-SEARCH(" ",N3,1)),1)))-SEARCH(" ",MID(MID(N3,SEARCH(" ",N3,1)+1,LEN(N3)-SEARCH(" ",N3,1)),SEARCH(" ",MID(N3,SEARCH(" ",N3,1)+1,LEN(N3)-SEARCH(" ",N3,1)),1)+1,LEN(MID(N3,SEARCH(" ",N3,1)+1,LEN(N3)-SEARCH(" ",N3,1)))-SEARCH(" ",MID(N3,SEARCH(" ",N3,1)+1,LEN(N3)-SEARCH(" ",N3,1)),1)),1)),1)+1,LEN(MID(MID(MID(N3,SEARCH(" ",N3,1)+1,LEN(N3)-SEARCH(" ",N3,1)),SEARCH(" ",MID(N3,SEARCH(" ",N3,1)+1,LEN(N3)-SEARCH(" ",N3,1)),1)+1,LEN(MID(N3,SEARCH(" ",N3,1)+1,LEN(N3)-SEARCH(" ",N3,1)))-SEARCH(" ",MID(N3,SEARCH(" ",N3,1)+1,LEN(N3)-SEARCH(" ",N3,1)),1)),SEARCH(" ",MID(MID(N3,SEARCH(" ",N3,1)+1,LEN(N3)-SEARCH(" ",N3,1)),SEARCH(" ",MID(N3,SEARCH(" ",N3,1)+1,LEN(N3)-SEARCH(" ",N3,1)),1)+1,LEN(MID(N3,SEARCH(" ",N3,1)+1,LEN(N3)-SEARCH(" ",N3,1)))-SEARCH(" ",MID(N3,SEARCH(" ",N3,1)+1,LEN(N3)-SEARCH(" ",N3,1)),1)),1)+1,LEN(MID(MID(N3,SEARCH(" ",N3,1)+1,LEN(N3)-SEARCH(" ",N3,1)),SEARCH(" ",MID(N3,SEARCH(" ",N3,1)+1,LEN(N3)-SEARCH(" ",N3,1)),1)+1,LEN(MID(N3,SEARCH(" ",N3,1)+1,LEN(N3)-SEARCH(" ",N3,1)))-SEARCH(" ",MID(N3,SEARCH(" ",N3,1)+1,LEN(N3)-SEARCH(" ",N3,1)),1)))-SEARCH(" ",MID(MID(N3,SEARCH(" ",N3,1)+1,LEN(N3)-SEARCH(" ",N3,1)),SEARCH(" ",MID(N3,SEARCH(" ",N3,1)+1,LEN(N3)-SEARCH(" ",N3,1)),1)+1,LEN(MID(N3,SEARCH(" ",N3,1)+1,LEN(N3)-SEARCH(" ",N3,1)))-SEARCH(" ",MID(N3,SEARCH(" ",N3,1)+1,LEN(N3)-SEARCH(" ",N3,1)),1)),1)))-SEARCH(" ",MID(MID(MID(N3,SEARCH(" ",N3,1)+1,LEN(N3)-SEARCH(" ",N3,1)),SEARCH(" ",MID(N3,SEARCH(" ",N3,1)+1,LEN(N3)-SEARCH(" ",N3,1)),1)+1,LEN(MID(N3,SEARCH(" ",N3,1)+1,LEN(N3)-SEARCH(" ",N3,1)))-SEARCH(" ",MID(N3,SEARCH(" ",N3,1)+1,LEN(N3)-SEARCH(" ",N3,1)),1)),SEARCH(" ",MID(MID(N3,SEARCH(" ",N3,1)+1,LEN(N3)-SEARCH(" ",N3,1)),SEARCH(" ",MID(N3,SEARCH(" ",N3,1)+1,LEN(N3)-SEARCH(" ",N3,1)),1)+1,LEN(MID(N3,SEARCH(" ",N3,1)+1,LEN(N3)-SEARCH(" ",N3,1)))-SEARCH(" ",MID(N3,SEARCH(" ",N3,1)+1,LEN(N3)-SEARCH(" ",N3,1)),1)),1)+1,LEN(MID(MID(N3,SEARCH(" ",N3,1)+1,LEN(N3)-SEARCH(" ",N3,1)),SEARCH(" ",MID(N3,SEARCH(" ",N3,1)+1,LEN(N3)-SEARCH(" ",N3,1)),1)+1,LEN(MID(N3,SEARCH(" ",N3,1)+1,LEN(N3)-SEARCH(" ",N3,1)))-SEARCH(" ",MID(N3,SEARCH(" ",N3,1)+1,LEN(N3)-SEARCH(" ",N3,1)),1)))-SEARCH(" ",MID(MID(N3,SEARCH(" ",N3,1)+1,LEN(N3)-SEARCH(" ",N3,1)),SEARCH(" ",MID(N3,SEARCH(" ",N3,1)+1,LEN(N3)-SEARCH(" ",N3,1)),1)+1,LEN(MID(N3,SEARCH(" ",N3,1)+1,LEN(N3)-SEARCH(" ",N3,1)))-SEARCH(" ",MID(N3,SEARCH(" ",N3,1)+1,LEN(N3)-SEARCH(" ",N3,1)),1)),1)),1)+1)</f>
        <v>#VALUE!</v>
      </c>
      <c r="M3" s="1" t="s">
        <v>22</v>
      </c>
      <c r="N3" s="1" t="s">
        <v>24</v>
      </c>
    </row>
    <row r="4" spans="1:16" x14ac:dyDescent="0.35">
      <c r="B4" s="1" t="str">
        <f t="shared" si="1"/>
        <v>OK+++</v>
      </c>
      <c r="C4" s="1" t="str">
        <f t="shared" si="2"/>
        <v>hugo</v>
      </c>
      <c r="D4" s="1" t="str">
        <f t="shared" si="3"/>
        <v>jahaziel</v>
      </c>
      <c r="E4" s="1" t="str">
        <f t="shared" si="4"/>
        <v>nieto</v>
      </c>
      <c r="F4" s="1" t="str">
        <f t="shared" si="5"/>
        <v>bianchi</v>
      </c>
      <c r="G4" s="1" t="e">
        <f t="shared" si="6"/>
        <v>#VALUE!</v>
      </c>
      <c r="H4" s="1" t="str">
        <f t="shared" si="7"/>
        <v>hugo</v>
      </c>
      <c r="I4" s="1" t="str">
        <f t="shared" si="8"/>
        <v>jahaziel</v>
      </c>
      <c r="J4" s="1" t="e">
        <f t="shared" si="9"/>
        <v>#VALUE!</v>
      </c>
      <c r="K4" s="1" t="e">
        <f t="shared" si="10"/>
        <v>#VALUE!</v>
      </c>
      <c r="L4" s="1" t="e">
        <f t="shared" si="11"/>
        <v>#VALUE!</v>
      </c>
      <c r="M4" s="1" t="s">
        <v>22</v>
      </c>
      <c r="N4" s="1" t="s">
        <v>25</v>
      </c>
    </row>
    <row r="5" spans="1:16" x14ac:dyDescent="0.35">
      <c r="B5" s="1" t="str">
        <f t="shared" si="1"/>
        <v>OK++</v>
      </c>
      <c r="C5" s="1" t="str">
        <f t="shared" si="2"/>
        <v>calandria</v>
      </c>
      <c r="D5" s="1" t="str">
        <f t="shared" si="3"/>
        <v>no</v>
      </c>
      <c r="E5" s="1" t="str">
        <f t="shared" si="4"/>
        <v>27</v>
      </c>
      <c r="F5" s="1" t="str">
        <f t="shared" si="5"/>
        <v>int</v>
      </c>
      <c r="G5" s="1" t="str">
        <f t="shared" si="6"/>
        <v>16</v>
      </c>
      <c r="H5" s="1" t="str">
        <f t="shared" si="7"/>
        <v>calandria</v>
      </c>
      <c r="I5" s="1" t="str">
        <f t="shared" si="8"/>
        <v>27</v>
      </c>
      <c r="J5" s="1" t="str">
        <f t="shared" si="9"/>
        <v>16</v>
      </c>
      <c r="K5" s="1" t="e">
        <f t="shared" si="10"/>
        <v>#VALUE!</v>
      </c>
      <c r="L5" s="1" t="e">
        <f t="shared" si="11"/>
        <v>#VALUE!</v>
      </c>
      <c r="M5" s="1" t="s">
        <v>26</v>
      </c>
      <c r="N5" s="1" t="s">
        <v>27</v>
      </c>
    </row>
    <row r="6" spans="1:16" x14ac:dyDescent="0.35"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6" x14ac:dyDescent="0.35"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6" x14ac:dyDescent="0.35"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6" x14ac:dyDescent="0.35"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6" x14ac:dyDescent="0.35"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6" x14ac:dyDescent="0.35"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6" x14ac:dyDescent="0.35"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6" x14ac:dyDescent="0.35"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6" x14ac:dyDescent="0.35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6" x14ac:dyDescent="0.35"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6" x14ac:dyDescent="0.35"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3:14" x14ac:dyDescent="0.35"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3:14" x14ac:dyDescent="0.35"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3:14" x14ac:dyDescent="0.35"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3:14" x14ac:dyDescent="0.35"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3:14" x14ac:dyDescent="0.35"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3:14" x14ac:dyDescent="0.35"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3:14" x14ac:dyDescent="0.35"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3:14" x14ac:dyDescent="0.35"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3:14" x14ac:dyDescent="0.35"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3:14" x14ac:dyDescent="0.35"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3:14" x14ac:dyDescent="0.35"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3:14" x14ac:dyDescent="0.35"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3:14" x14ac:dyDescent="0.35"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3:14" x14ac:dyDescent="0.35"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3:14" x14ac:dyDescent="0.35"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3:14" x14ac:dyDescent="0.35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3:14" x14ac:dyDescent="0.35"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3:14" x14ac:dyDescent="0.35"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3:14" x14ac:dyDescent="0.35"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3:14" x14ac:dyDescent="0.35"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3:14" x14ac:dyDescent="0.35"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3:14" x14ac:dyDescent="0.35"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3:14" x14ac:dyDescent="0.35"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3:14" x14ac:dyDescent="0.35"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3:14" x14ac:dyDescent="0.35"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3:14" x14ac:dyDescent="0.35"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  <row r="43" spans="3:14" x14ac:dyDescent="0.35"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</row>
    <row r="44" spans="3:14" x14ac:dyDescent="0.35"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</row>
    <row r="45" spans="3:14" x14ac:dyDescent="0.35"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3:14" x14ac:dyDescent="0.35"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3:14" x14ac:dyDescent="0.35"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</row>
    <row r="48" spans="3:14" x14ac:dyDescent="0.35"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</row>
    <row r="49" spans="3:14" x14ac:dyDescent="0.35"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</row>
    <row r="50" spans="3:14" x14ac:dyDescent="0.35"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3:14" x14ac:dyDescent="0.35"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3:14" x14ac:dyDescent="0.35"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</row>
    <row r="53" spans="3:14" x14ac:dyDescent="0.35"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</row>
    <row r="54" spans="3:14" x14ac:dyDescent="0.35"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</row>
    <row r="55" spans="3:14" x14ac:dyDescent="0.35"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</row>
    <row r="56" spans="3:14" x14ac:dyDescent="0.35"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</row>
    <row r="57" spans="3:14" x14ac:dyDescent="0.35"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</row>
    <row r="58" spans="3:14" x14ac:dyDescent="0.35"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</row>
    <row r="59" spans="3:14" x14ac:dyDescent="0.35"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3:14" x14ac:dyDescent="0.35"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</row>
    <row r="61" spans="3:14" x14ac:dyDescent="0.35"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</row>
    <row r="62" spans="3:14" x14ac:dyDescent="0.35"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</row>
    <row r="63" spans="3:14" x14ac:dyDescent="0.35"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</row>
    <row r="64" spans="3:14" x14ac:dyDescent="0.35"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  <row r="65" spans="3:14" x14ac:dyDescent="0.35"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</row>
    <row r="66" spans="3:14" x14ac:dyDescent="0.35"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</row>
    <row r="67" spans="3:14" x14ac:dyDescent="0.35"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</row>
    <row r="68" spans="3:14" x14ac:dyDescent="0.35"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</row>
    <row r="69" spans="3:14" x14ac:dyDescent="0.35"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</row>
    <row r="70" spans="3:14" x14ac:dyDescent="0.35"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</row>
    <row r="71" spans="3:14" x14ac:dyDescent="0.35"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</row>
    <row r="72" spans="3:14" x14ac:dyDescent="0.35"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</row>
    <row r="73" spans="3:14" x14ac:dyDescent="0.35"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</row>
    <row r="74" spans="3:14" x14ac:dyDescent="0.35"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</row>
    <row r="75" spans="3:14" x14ac:dyDescent="0.35"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</row>
    <row r="76" spans="3:14" x14ac:dyDescent="0.35"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</row>
    <row r="77" spans="3:14" x14ac:dyDescent="0.35"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</row>
    <row r="78" spans="3:14" x14ac:dyDescent="0.35"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</row>
    <row r="79" spans="3:14" x14ac:dyDescent="0.35"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</row>
    <row r="80" spans="3:14" x14ac:dyDescent="0.35"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</row>
    <row r="81" spans="3:14" x14ac:dyDescent="0.35"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</row>
    <row r="82" spans="3:14" x14ac:dyDescent="0.35"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</row>
    <row r="83" spans="3:14" x14ac:dyDescent="0.35"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</row>
    <row r="84" spans="3:14" x14ac:dyDescent="0.35"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</row>
    <row r="85" spans="3:14" x14ac:dyDescent="0.35"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</row>
    <row r="86" spans="3:14" x14ac:dyDescent="0.35"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</row>
    <row r="87" spans="3:14" x14ac:dyDescent="0.35"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</row>
    <row r="88" spans="3:14" x14ac:dyDescent="0.35"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</row>
    <row r="89" spans="3:14" x14ac:dyDescent="0.35"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</row>
    <row r="90" spans="3:14" x14ac:dyDescent="0.35"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</row>
    <row r="91" spans="3:14" x14ac:dyDescent="0.35"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</row>
    <row r="92" spans="3:14" x14ac:dyDescent="0.35"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</row>
    <row r="93" spans="3:14" x14ac:dyDescent="0.35"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</row>
    <row r="94" spans="3:14" x14ac:dyDescent="0.35"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</row>
    <row r="95" spans="3:14" x14ac:dyDescent="0.35"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</row>
    <row r="96" spans="3:14" x14ac:dyDescent="0.35"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</row>
    <row r="97" spans="3:14" x14ac:dyDescent="0.35"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</row>
    <row r="98" spans="3:14" x14ac:dyDescent="0.35"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</row>
    <row r="99" spans="3:14" x14ac:dyDescent="0.35"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</row>
    <row r="100" spans="3:14" x14ac:dyDescent="0.35"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</row>
    <row r="101" spans="3:14" x14ac:dyDescent="0.35"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</row>
    <row r="102" spans="3:14" x14ac:dyDescent="0.35"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3:14" x14ac:dyDescent="0.35"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3:14" x14ac:dyDescent="0.35"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3:14" x14ac:dyDescent="0.35"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3:14" x14ac:dyDescent="0.35"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3:14" x14ac:dyDescent="0.35"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3:14" x14ac:dyDescent="0.35"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3:14" x14ac:dyDescent="0.35"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3:14" x14ac:dyDescent="0.35"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3:14" x14ac:dyDescent="0.35"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3:14" x14ac:dyDescent="0.35"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3:14" x14ac:dyDescent="0.35"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3:14" x14ac:dyDescent="0.35"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3:14" x14ac:dyDescent="0.35"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3:14" x14ac:dyDescent="0.35"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3:14" x14ac:dyDescent="0.35"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3:14" x14ac:dyDescent="0.35"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3:14" x14ac:dyDescent="0.35"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3:14" x14ac:dyDescent="0.35"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3:14" x14ac:dyDescent="0.35"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3:14" x14ac:dyDescent="0.35"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3:14" x14ac:dyDescent="0.35"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3:14" x14ac:dyDescent="0.35"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3:14" x14ac:dyDescent="0.35"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3:14" x14ac:dyDescent="0.35"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3:14" x14ac:dyDescent="0.35"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3:14" x14ac:dyDescent="0.35"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</row>
    <row r="129" spans="3:14" x14ac:dyDescent="0.35"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</row>
    <row r="130" spans="3:14" x14ac:dyDescent="0.35"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</row>
    <row r="131" spans="3:14" x14ac:dyDescent="0.35"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</row>
    <row r="132" spans="3:14" x14ac:dyDescent="0.35"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</row>
    <row r="133" spans="3:14" x14ac:dyDescent="0.35"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</row>
    <row r="134" spans="3:14" x14ac:dyDescent="0.35"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</row>
    <row r="135" spans="3:14" x14ac:dyDescent="0.35"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</row>
    <row r="136" spans="3:14" x14ac:dyDescent="0.35"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</row>
    <row r="137" spans="3:14" x14ac:dyDescent="0.35"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</row>
    <row r="138" spans="3:14" x14ac:dyDescent="0.35"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</row>
    <row r="139" spans="3:14" x14ac:dyDescent="0.35"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</row>
    <row r="140" spans="3:14" x14ac:dyDescent="0.35"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</row>
    <row r="141" spans="3:14" x14ac:dyDescent="0.35"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</row>
    <row r="142" spans="3:14" x14ac:dyDescent="0.35"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</row>
    <row r="143" spans="3:14" x14ac:dyDescent="0.35"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</row>
    <row r="144" spans="3:14" x14ac:dyDescent="0.35"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</row>
    <row r="145" spans="3:14" x14ac:dyDescent="0.35"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</row>
    <row r="146" spans="3:14" x14ac:dyDescent="0.35"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</row>
    <row r="147" spans="3:14" x14ac:dyDescent="0.35"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</row>
    <row r="148" spans="3:14" x14ac:dyDescent="0.35"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</row>
    <row r="149" spans="3:14" x14ac:dyDescent="0.35"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</row>
    <row r="150" spans="3:14" x14ac:dyDescent="0.35"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</row>
    <row r="151" spans="3:14" x14ac:dyDescent="0.35"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</row>
    <row r="152" spans="3:14" x14ac:dyDescent="0.35"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</row>
    <row r="153" spans="3:14" x14ac:dyDescent="0.35"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</row>
    <row r="154" spans="3:14" x14ac:dyDescent="0.35"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</row>
    <row r="155" spans="3:14" x14ac:dyDescent="0.35"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</row>
    <row r="156" spans="3:14" x14ac:dyDescent="0.35"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</row>
    <row r="157" spans="3:14" x14ac:dyDescent="0.35"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</row>
    <row r="158" spans="3:14" x14ac:dyDescent="0.35"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</row>
    <row r="159" spans="3:14" x14ac:dyDescent="0.35"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</row>
    <row r="160" spans="3:14" x14ac:dyDescent="0.35"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</row>
    <row r="161" spans="3:14" x14ac:dyDescent="0.35"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</row>
    <row r="162" spans="3:14" x14ac:dyDescent="0.35"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</row>
    <row r="163" spans="3:14" x14ac:dyDescent="0.35"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</row>
    <row r="164" spans="3:14" x14ac:dyDescent="0.35"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</row>
    <row r="165" spans="3:14" x14ac:dyDescent="0.35"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</row>
    <row r="166" spans="3:14" x14ac:dyDescent="0.35"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</row>
    <row r="167" spans="3:14" x14ac:dyDescent="0.35"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</row>
    <row r="168" spans="3:14" x14ac:dyDescent="0.35"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</row>
    <row r="169" spans="3:14" x14ac:dyDescent="0.35"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</row>
    <row r="170" spans="3:14" x14ac:dyDescent="0.35"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</row>
    <row r="171" spans="3:14" x14ac:dyDescent="0.35"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</row>
    <row r="172" spans="3:14" x14ac:dyDescent="0.35"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</row>
    <row r="173" spans="3:14" x14ac:dyDescent="0.35"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</row>
    <row r="174" spans="3:14" x14ac:dyDescent="0.35"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</row>
    <row r="175" spans="3:14" x14ac:dyDescent="0.35"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</row>
    <row r="176" spans="3:14" x14ac:dyDescent="0.35"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</row>
    <row r="177" spans="3:14" x14ac:dyDescent="0.35"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</row>
    <row r="178" spans="3:14" x14ac:dyDescent="0.35"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</row>
    <row r="179" spans="3:14" x14ac:dyDescent="0.35"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</row>
    <row r="180" spans="3:14" x14ac:dyDescent="0.35"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</row>
    <row r="181" spans="3:14" x14ac:dyDescent="0.35"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</row>
    <row r="182" spans="3:14" x14ac:dyDescent="0.35"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</row>
    <row r="183" spans="3:14" x14ac:dyDescent="0.35"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</row>
    <row r="184" spans="3:14" x14ac:dyDescent="0.35"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</row>
    <row r="185" spans="3:14" x14ac:dyDescent="0.35"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</row>
    <row r="186" spans="3:14" x14ac:dyDescent="0.35"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</row>
    <row r="187" spans="3:14" x14ac:dyDescent="0.35"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</row>
    <row r="188" spans="3:14" x14ac:dyDescent="0.35"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</row>
    <row r="189" spans="3:14" x14ac:dyDescent="0.35"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</row>
    <row r="190" spans="3:14" x14ac:dyDescent="0.35"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</row>
    <row r="191" spans="3:14" x14ac:dyDescent="0.35"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</row>
    <row r="192" spans="3:14" x14ac:dyDescent="0.35"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</row>
    <row r="193" spans="3:14" x14ac:dyDescent="0.35"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</row>
    <row r="194" spans="3:14" x14ac:dyDescent="0.35"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</row>
    <row r="195" spans="3:14" x14ac:dyDescent="0.35"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</row>
    <row r="196" spans="3:14" x14ac:dyDescent="0.35"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</row>
    <row r="197" spans="3:14" x14ac:dyDescent="0.35"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</row>
    <row r="198" spans="3:14" x14ac:dyDescent="0.35"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</row>
    <row r="199" spans="3:14" x14ac:dyDescent="0.35"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</row>
    <row r="200" spans="3:14" x14ac:dyDescent="0.35"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</row>
    <row r="201" spans="3:14" x14ac:dyDescent="0.35"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</row>
    <row r="202" spans="3:14" x14ac:dyDescent="0.35"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</row>
    <row r="203" spans="3:14" x14ac:dyDescent="0.35"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</row>
    <row r="204" spans="3:14" x14ac:dyDescent="0.35"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</row>
    <row r="205" spans="3:14" x14ac:dyDescent="0.35"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</row>
    <row r="206" spans="3:14" x14ac:dyDescent="0.35"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</row>
    <row r="207" spans="3:14" x14ac:dyDescent="0.35"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</row>
    <row r="208" spans="3:14" x14ac:dyDescent="0.35"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</row>
    <row r="209" spans="3:14" x14ac:dyDescent="0.35"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</row>
    <row r="210" spans="3:14" x14ac:dyDescent="0.35"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</row>
    <row r="211" spans="3:14" x14ac:dyDescent="0.35"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</row>
    <row r="212" spans="3:14" x14ac:dyDescent="0.35"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</row>
    <row r="213" spans="3:14" x14ac:dyDescent="0.35"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</row>
    <row r="214" spans="3:14" x14ac:dyDescent="0.35"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</row>
    <row r="215" spans="3:14" x14ac:dyDescent="0.35"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</row>
    <row r="216" spans="3:14" x14ac:dyDescent="0.35"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</row>
    <row r="217" spans="3:14" x14ac:dyDescent="0.35"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</row>
    <row r="218" spans="3:14" x14ac:dyDescent="0.35"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</row>
    <row r="219" spans="3:14" x14ac:dyDescent="0.35"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</row>
    <row r="220" spans="3:14" x14ac:dyDescent="0.35"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</row>
    <row r="221" spans="3:14" x14ac:dyDescent="0.35"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</row>
    <row r="222" spans="3:14" x14ac:dyDescent="0.35"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</row>
    <row r="223" spans="3:14" x14ac:dyDescent="0.35"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</row>
    <row r="224" spans="3:14" x14ac:dyDescent="0.35"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</row>
    <row r="225" spans="3:14" x14ac:dyDescent="0.35"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</row>
    <row r="226" spans="3:14" x14ac:dyDescent="0.35"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</row>
    <row r="227" spans="3:14" x14ac:dyDescent="0.35"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</row>
    <row r="228" spans="3:14" x14ac:dyDescent="0.35"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</row>
    <row r="229" spans="3:14" x14ac:dyDescent="0.35"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</row>
    <row r="230" spans="3:14" x14ac:dyDescent="0.35"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</row>
    <row r="231" spans="3:14" x14ac:dyDescent="0.35"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</row>
    <row r="232" spans="3:14" x14ac:dyDescent="0.35"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</row>
    <row r="233" spans="3:14" x14ac:dyDescent="0.35"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</row>
    <row r="234" spans="3:14" x14ac:dyDescent="0.35"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</row>
    <row r="235" spans="3:14" x14ac:dyDescent="0.35"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</row>
    <row r="236" spans="3:14" x14ac:dyDescent="0.35"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</row>
    <row r="237" spans="3:14" x14ac:dyDescent="0.35"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</row>
    <row r="238" spans="3:14" x14ac:dyDescent="0.35"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</row>
    <row r="239" spans="3:14" x14ac:dyDescent="0.35"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</row>
    <row r="240" spans="3:14" x14ac:dyDescent="0.35"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</row>
    <row r="241" spans="3:14" x14ac:dyDescent="0.35"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</row>
    <row r="242" spans="3:14" x14ac:dyDescent="0.35"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</row>
    <row r="243" spans="3:14" x14ac:dyDescent="0.35"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</row>
    <row r="244" spans="3:14" x14ac:dyDescent="0.35"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</row>
    <row r="245" spans="3:14" x14ac:dyDescent="0.35"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</row>
    <row r="246" spans="3:14" x14ac:dyDescent="0.35"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</row>
    <row r="247" spans="3:14" x14ac:dyDescent="0.35"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</row>
    <row r="248" spans="3:14" x14ac:dyDescent="0.35"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</row>
    <row r="249" spans="3:14" x14ac:dyDescent="0.35"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</row>
    <row r="250" spans="3:14" x14ac:dyDescent="0.35"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</row>
    <row r="251" spans="3:14" x14ac:dyDescent="0.35"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</row>
    <row r="252" spans="3:14" x14ac:dyDescent="0.35"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</row>
    <row r="253" spans="3:14" x14ac:dyDescent="0.35"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</row>
    <row r="254" spans="3:14" x14ac:dyDescent="0.35"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</row>
    <row r="255" spans="3:14" x14ac:dyDescent="0.35"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</row>
    <row r="256" spans="3:14" x14ac:dyDescent="0.35"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</row>
    <row r="257" spans="3:14" x14ac:dyDescent="0.35"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</row>
    <row r="258" spans="3:14" x14ac:dyDescent="0.35"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</row>
    <row r="259" spans="3:14" x14ac:dyDescent="0.35"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</row>
    <row r="260" spans="3:14" x14ac:dyDescent="0.35"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</row>
    <row r="261" spans="3:14" x14ac:dyDescent="0.35"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</row>
    <row r="262" spans="3:14" x14ac:dyDescent="0.35"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</row>
    <row r="263" spans="3:14" x14ac:dyDescent="0.35"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</row>
    <row r="264" spans="3:14" x14ac:dyDescent="0.35"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</row>
    <row r="265" spans="3:14" x14ac:dyDescent="0.35"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</row>
    <row r="266" spans="3:14" x14ac:dyDescent="0.35"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</row>
    <row r="267" spans="3:14" x14ac:dyDescent="0.35"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</row>
    <row r="268" spans="3:14" x14ac:dyDescent="0.35"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</row>
    <row r="269" spans="3:14" x14ac:dyDescent="0.35"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</row>
    <row r="270" spans="3:14" x14ac:dyDescent="0.35"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</row>
    <row r="271" spans="3:14" x14ac:dyDescent="0.35"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</row>
    <row r="272" spans="3:14" x14ac:dyDescent="0.35"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</row>
    <row r="273" spans="3:14" x14ac:dyDescent="0.35"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</row>
    <row r="274" spans="3:14" x14ac:dyDescent="0.35"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</row>
    <row r="275" spans="3:14" x14ac:dyDescent="0.35"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</row>
    <row r="276" spans="3:14" x14ac:dyDescent="0.35"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</row>
    <row r="277" spans="3:14" x14ac:dyDescent="0.35"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</row>
    <row r="278" spans="3:14" x14ac:dyDescent="0.35"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</row>
    <row r="279" spans="3:14" x14ac:dyDescent="0.35"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</row>
    <row r="280" spans="3:14" x14ac:dyDescent="0.35"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</row>
    <row r="281" spans="3:14" x14ac:dyDescent="0.35"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</row>
    <row r="282" spans="3:14" x14ac:dyDescent="0.35"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</row>
    <row r="283" spans="3:14" x14ac:dyDescent="0.35"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</row>
    <row r="284" spans="3:14" x14ac:dyDescent="0.35"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</row>
    <row r="285" spans="3:14" x14ac:dyDescent="0.35"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</row>
    <row r="286" spans="3:14" x14ac:dyDescent="0.35"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</row>
    <row r="287" spans="3:14" x14ac:dyDescent="0.35"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</row>
    <row r="288" spans="3:14" x14ac:dyDescent="0.35"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</row>
    <row r="289" spans="3:14" x14ac:dyDescent="0.35"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</row>
    <row r="290" spans="3:14" x14ac:dyDescent="0.35"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</row>
    <row r="291" spans="3:14" x14ac:dyDescent="0.35"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</row>
    <row r="292" spans="3:14" x14ac:dyDescent="0.35"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</row>
    <row r="293" spans="3:14" x14ac:dyDescent="0.35"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</row>
    <row r="294" spans="3:14" x14ac:dyDescent="0.35"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</row>
    <row r="295" spans="3:14" x14ac:dyDescent="0.35"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</row>
    <row r="296" spans="3:14" x14ac:dyDescent="0.35"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</row>
    <row r="297" spans="3:14" x14ac:dyDescent="0.35"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</row>
    <row r="298" spans="3:14" x14ac:dyDescent="0.35"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</row>
    <row r="299" spans="3:14" x14ac:dyDescent="0.35"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</row>
    <row r="300" spans="3:14" x14ac:dyDescent="0.35"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</row>
    <row r="301" spans="3:14" x14ac:dyDescent="0.35"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</row>
    <row r="302" spans="3:14" x14ac:dyDescent="0.35"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</row>
    <row r="303" spans="3:14" x14ac:dyDescent="0.35"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</row>
    <row r="304" spans="3:14" x14ac:dyDescent="0.35"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</row>
    <row r="305" spans="3:14" x14ac:dyDescent="0.35"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</row>
    <row r="306" spans="3:14" x14ac:dyDescent="0.35"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</row>
    <row r="307" spans="3:14" x14ac:dyDescent="0.35"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</row>
    <row r="308" spans="3:14" x14ac:dyDescent="0.35"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</row>
    <row r="309" spans="3:14" x14ac:dyDescent="0.35"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</row>
    <row r="310" spans="3:14" x14ac:dyDescent="0.35"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</row>
    <row r="311" spans="3:14" x14ac:dyDescent="0.35"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</row>
    <row r="312" spans="3:14" x14ac:dyDescent="0.35"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</row>
    <row r="313" spans="3:14" x14ac:dyDescent="0.35"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</row>
    <row r="314" spans="3:14" x14ac:dyDescent="0.35"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</row>
    <row r="315" spans="3:14" x14ac:dyDescent="0.35"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</row>
    <row r="316" spans="3:14" x14ac:dyDescent="0.35"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</row>
    <row r="317" spans="3:14" x14ac:dyDescent="0.35"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</row>
    <row r="318" spans="3:14" x14ac:dyDescent="0.35"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</row>
    <row r="319" spans="3:14" x14ac:dyDescent="0.35"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</row>
    <row r="320" spans="3:14" x14ac:dyDescent="0.35"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</row>
    <row r="321" spans="3:14" x14ac:dyDescent="0.35"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</row>
    <row r="322" spans="3:14" x14ac:dyDescent="0.35"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</row>
    <row r="323" spans="3:14" x14ac:dyDescent="0.35"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</row>
    <row r="324" spans="3:14" x14ac:dyDescent="0.35"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</row>
    <row r="325" spans="3:14" x14ac:dyDescent="0.35"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</row>
    <row r="326" spans="3:14" x14ac:dyDescent="0.35"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</row>
    <row r="327" spans="3:14" x14ac:dyDescent="0.35"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</row>
    <row r="328" spans="3:14" x14ac:dyDescent="0.35"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</row>
    <row r="329" spans="3:14" x14ac:dyDescent="0.35"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</row>
    <row r="330" spans="3:14" x14ac:dyDescent="0.35"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</row>
    <row r="331" spans="3:14" x14ac:dyDescent="0.35"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</row>
    <row r="332" spans="3:14" x14ac:dyDescent="0.35"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</row>
    <row r="333" spans="3:14" x14ac:dyDescent="0.35"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</row>
    <row r="334" spans="3:14" x14ac:dyDescent="0.35"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</row>
    <row r="335" spans="3:14" x14ac:dyDescent="0.35"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</row>
    <row r="336" spans="3:14" x14ac:dyDescent="0.35"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</row>
    <row r="337" spans="3:14" x14ac:dyDescent="0.35"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</row>
    <row r="338" spans="3:14" x14ac:dyDescent="0.35"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</row>
    <row r="339" spans="3:14" x14ac:dyDescent="0.35"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</row>
    <row r="340" spans="3:14" x14ac:dyDescent="0.35"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</row>
    <row r="341" spans="3:14" x14ac:dyDescent="0.35"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</row>
    <row r="342" spans="3:14" x14ac:dyDescent="0.35"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</row>
    <row r="343" spans="3:14" x14ac:dyDescent="0.35"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</row>
    <row r="344" spans="3:14" x14ac:dyDescent="0.35"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</row>
    <row r="345" spans="3:14" x14ac:dyDescent="0.35"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</row>
    <row r="346" spans="3:14" x14ac:dyDescent="0.35"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</row>
    <row r="347" spans="3:14" x14ac:dyDescent="0.35"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</row>
    <row r="348" spans="3:14" x14ac:dyDescent="0.35"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</row>
    <row r="349" spans="3:14" x14ac:dyDescent="0.35"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</row>
    <row r="350" spans="3:14" x14ac:dyDescent="0.35"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</row>
    <row r="351" spans="3:14" x14ac:dyDescent="0.35"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</row>
    <row r="352" spans="3:14" x14ac:dyDescent="0.35"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</row>
    <row r="353" spans="3:14" x14ac:dyDescent="0.35"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</row>
    <row r="354" spans="3:14" x14ac:dyDescent="0.35"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</row>
    <row r="355" spans="3:14" x14ac:dyDescent="0.35"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</row>
    <row r="356" spans="3:14" x14ac:dyDescent="0.35"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</row>
    <row r="357" spans="3:14" x14ac:dyDescent="0.35"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</row>
    <row r="358" spans="3:14" x14ac:dyDescent="0.35"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</row>
    <row r="359" spans="3:14" x14ac:dyDescent="0.35"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</row>
    <row r="360" spans="3:14" x14ac:dyDescent="0.35"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</row>
    <row r="361" spans="3:14" x14ac:dyDescent="0.35"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</row>
    <row r="362" spans="3:14" x14ac:dyDescent="0.35"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</row>
    <row r="363" spans="3:14" x14ac:dyDescent="0.35"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</row>
    <row r="364" spans="3:14" x14ac:dyDescent="0.35"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</row>
    <row r="365" spans="3:14" x14ac:dyDescent="0.35"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</row>
    <row r="366" spans="3:14" x14ac:dyDescent="0.35"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</row>
    <row r="367" spans="3:14" x14ac:dyDescent="0.35"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</row>
    <row r="368" spans="3:14" x14ac:dyDescent="0.35"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</row>
    <row r="369" spans="3:14" x14ac:dyDescent="0.35"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</row>
    <row r="370" spans="3:14" x14ac:dyDescent="0.35"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</row>
    <row r="371" spans="3:14" x14ac:dyDescent="0.35"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</row>
    <row r="372" spans="3:14" x14ac:dyDescent="0.35"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</row>
    <row r="373" spans="3:14" x14ac:dyDescent="0.35"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</row>
    <row r="374" spans="3:14" x14ac:dyDescent="0.35"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</row>
    <row r="375" spans="3:14" x14ac:dyDescent="0.35"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</row>
    <row r="376" spans="3:14" x14ac:dyDescent="0.35"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</row>
    <row r="377" spans="3:14" x14ac:dyDescent="0.35"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</row>
    <row r="378" spans="3:14" x14ac:dyDescent="0.35"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</row>
    <row r="379" spans="3:14" x14ac:dyDescent="0.35"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</row>
    <row r="380" spans="3:14" x14ac:dyDescent="0.35"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</row>
    <row r="381" spans="3:14" x14ac:dyDescent="0.35"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</row>
    <row r="382" spans="3:14" x14ac:dyDescent="0.35"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</row>
    <row r="383" spans="3:14" x14ac:dyDescent="0.35"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</row>
    <row r="384" spans="3:14" x14ac:dyDescent="0.35"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</row>
    <row r="385" spans="3:14" x14ac:dyDescent="0.35"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</row>
    <row r="386" spans="3:14" x14ac:dyDescent="0.35"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</row>
    <row r="387" spans="3:14" x14ac:dyDescent="0.35"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</row>
    <row r="388" spans="3:14" x14ac:dyDescent="0.35"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</row>
    <row r="389" spans="3:14" x14ac:dyDescent="0.35"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</row>
    <row r="390" spans="3:14" x14ac:dyDescent="0.35"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</row>
    <row r="391" spans="3:14" x14ac:dyDescent="0.35"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</row>
    <row r="392" spans="3:14" x14ac:dyDescent="0.35"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</row>
    <row r="393" spans="3:14" x14ac:dyDescent="0.35"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</row>
    <row r="394" spans="3:14" x14ac:dyDescent="0.35"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</row>
    <row r="395" spans="3:14" x14ac:dyDescent="0.35"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</row>
    <row r="396" spans="3:14" x14ac:dyDescent="0.35"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</row>
    <row r="397" spans="3:14" x14ac:dyDescent="0.35"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</row>
    <row r="398" spans="3:14" x14ac:dyDescent="0.35"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</row>
    <row r="399" spans="3:14" x14ac:dyDescent="0.35"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</row>
    <row r="400" spans="3:14" x14ac:dyDescent="0.35"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</row>
    <row r="401" spans="3:14" x14ac:dyDescent="0.35"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</row>
    <row r="402" spans="3:14" x14ac:dyDescent="0.35"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</row>
    <row r="403" spans="3:14" x14ac:dyDescent="0.35"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</row>
    <row r="404" spans="3:14" x14ac:dyDescent="0.35"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</row>
    <row r="405" spans="3:14" x14ac:dyDescent="0.35"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</row>
    <row r="406" spans="3:14" x14ac:dyDescent="0.35"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</row>
    <row r="407" spans="3:14" x14ac:dyDescent="0.35"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</row>
    <row r="408" spans="3:14" x14ac:dyDescent="0.35"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</row>
    <row r="409" spans="3:14" x14ac:dyDescent="0.35"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</row>
    <row r="410" spans="3:14" x14ac:dyDescent="0.35"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</row>
    <row r="411" spans="3:14" x14ac:dyDescent="0.35"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</row>
    <row r="412" spans="3:14" x14ac:dyDescent="0.35"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</row>
    <row r="413" spans="3:14" x14ac:dyDescent="0.35"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</row>
    <row r="414" spans="3:14" x14ac:dyDescent="0.35"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</row>
    <row r="415" spans="3:14" x14ac:dyDescent="0.35"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</row>
    <row r="416" spans="3:14" x14ac:dyDescent="0.35"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</row>
    <row r="417" spans="3:14" x14ac:dyDescent="0.35"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</row>
    <row r="418" spans="3:14" x14ac:dyDescent="0.35"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</row>
    <row r="419" spans="3:14" x14ac:dyDescent="0.35"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</row>
    <row r="420" spans="3:14" x14ac:dyDescent="0.35"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</row>
    <row r="421" spans="3:14" x14ac:dyDescent="0.35"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</row>
    <row r="422" spans="3:14" x14ac:dyDescent="0.35"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</row>
    <row r="423" spans="3:14" x14ac:dyDescent="0.35"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</row>
    <row r="424" spans="3:14" x14ac:dyDescent="0.35"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</row>
    <row r="425" spans="3:14" x14ac:dyDescent="0.35"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</row>
    <row r="426" spans="3:14" x14ac:dyDescent="0.35"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</row>
    <row r="427" spans="3:14" x14ac:dyDescent="0.35"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</row>
    <row r="428" spans="3:14" x14ac:dyDescent="0.35"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</row>
    <row r="429" spans="3:14" x14ac:dyDescent="0.35"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</row>
    <row r="430" spans="3:14" x14ac:dyDescent="0.35"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</row>
    <row r="431" spans="3:14" x14ac:dyDescent="0.35"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</row>
    <row r="432" spans="3:14" x14ac:dyDescent="0.35"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</row>
    <row r="433" spans="3:14" x14ac:dyDescent="0.35"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</row>
    <row r="434" spans="3:14" x14ac:dyDescent="0.35"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</row>
    <row r="435" spans="3:14" x14ac:dyDescent="0.35"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</row>
    <row r="436" spans="3:14" x14ac:dyDescent="0.35"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</row>
    <row r="437" spans="3:14" x14ac:dyDescent="0.35"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</row>
    <row r="438" spans="3:14" x14ac:dyDescent="0.35"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</row>
    <row r="439" spans="3:14" x14ac:dyDescent="0.35"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</row>
    <row r="440" spans="3:14" x14ac:dyDescent="0.35"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</row>
    <row r="441" spans="3:14" x14ac:dyDescent="0.35"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</row>
    <row r="442" spans="3:14" x14ac:dyDescent="0.35"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</row>
    <row r="443" spans="3:14" x14ac:dyDescent="0.35"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</row>
    <row r="444" spans="3:14" x14ac:dyDescent="0.35"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</row>
    <row r="445" spans="3:14" x14ac:dyDescent="0.35"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</row>
    <row r="446" spans="3:14" x14ac:dyDescent="0.35"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</row>
    <row r="447" spans="3:14" x14ac:dyDescent="0.35"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</row>
    <row r="448" spans="3:14" x14ac:dyDescent="0.35"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</row>
    <row r="449" spans="3:14" x14ac:dyDescent="0.35"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</row>
    <row r="450" spans="3:14" x14ac:dyDescent="0.35"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</row>
    <row r="451" spans="3:14" x14ac:dyDescent="0.35"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</row>
    <row r="452" spans="3:14" x14ac:dyDescent="0.35"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</row>
    <row r="453" spans="3:14" x14ac:dyDescent="0.35"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</row>
    <row r="454" spans="3:14" x14ac:dyDescent="0.35"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</row>
    <row r="455" spans="3:14" x14ac:dyDescent="0.35"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</row>
    <row r="456" spans="3:14" x14ac:dyDescent="0.35"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</row>
    <row r="457" spans="3:14" x14ac:dyDescent="0.35"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</row>
    <row r="458" spans="3:14" x14ac:dyDescent="0.35"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</row>
    <row r="459" spans="3:14" x14ac:dyDescent="0.35"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</row>
    <row r="460" spans="3:14" x14ac:dyDescent="0.35"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</row>
    <row r="461" spans="3:14" x14ac:dyDescent="0.35"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</row>
    <row r="462" spans="3:14" x14ac:dyDescent="0.35"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</row>
    <row r="463" spans="3:14" x14ac:dyDescent="0.35"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</row>
    <row r="464" spans="3:14" x14ac:dyDescent="0.35"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</row>
    <row r="465" spans="3:14" x14ac:dyDescent="0.35"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</row>
    <row r="466" spans="3:14" x14ac:dyDescent="0.35"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</row>
    <row r="467" spans="3:14" x14ac:dyDescent="0.35"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</row>
    <row r="468" spans="3:14" x14ac:dyDescent="0.35"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</row>
    <row r="469" spans="3:14" x14ac:dyDescent="0.35"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</row>
    <row r="470" spans="3:14" x14ac:dyDescent="0.35"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</row>
    <row r="471" spans="3:14" x14ac:dyDescent="0.35"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</row>
    <row r="472" spans="3:14" x14ac:dyDescent="0.35"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</row>
    <row r="473" spans="3:14" x14ac:dyDescent="0.35"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</row>
    <row r="474" spans="3:14" x14ac:dyDescent="0.35"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</row>
    <row r="475" spans="3:14" x14ac:dyDescent="0.35"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</row>
    <row r="476" spans="3:14" x14ac:dyDescent="0.35"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</row>
    <row r="477" spans="3:14" x14ac:dyDescent="0.35"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</row>
    <row r="478" spans="3:14" x14ac:dyDescent="0.35"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</row>
    <row r="479" spans="3:14" x14ac:dyDescent="0.35"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</row>
    <row r="480" spans="3:14" x14ac:dyDescent="0.35"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</row>
    <row r="481" spans="3:14" x14ac:dyDescent="0.35"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</row>
    <row r="482" spans="3:14" x14ac:dyDescent="0.35"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</row>
    <row r="483" spans="3:14" x14ac:dyDescent="0.35"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</row>
    <row r="484" spans="3:14" x14ac:dyDescent="0.35"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</row>
    <row r="485" spans="3:14" x14ac:dyDescent="0.35"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</row>
    <row r="486" spans="3:14" x14ac:dyDescent="0.35"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</row>
    <row r="487" spans="3:14" x14ac:dyDescent="0.35"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</row>
    <row r="488" spans="3:14" x14ac:dyDescent="0.35"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</row>
    <row r="489" spans="3:14" x14ac:dyDescent="0.35"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</row>
    <row r="490" spans="3:14" x14ac:dyDescent="0.35"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</row>
    <row r="491" spans="3:14" x14ac:dyDescent="0.35"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</row>
    <row r="492" spans="3:14" x14ac:dyDescent="0.35"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</row>
    <row r="493" spans="3:14" x14ac:dyDescent="0.35"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</row>
    <row r="494" spans="3:14" x14ac:dyDescent="0.35"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</row>
    <row r="495" spans="3:14" x14ac:dyDescent="0.35"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</row>
    <row r="496" spans="3:14" x14ac:dyDescent="0.35"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</row>
    <row r="497" spans="3:14" x14ac:dyDescent="0.35"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</row>
    <row r="498" spans="3:14" x14ac:dyDescent="0.35"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</row>
    <row r="499" spans="3:14" x14ac:dyDescent="0.35"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</row>
    <row r="500" spans="3:14" x14ac:dyDescent="0.35"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</row>
    <row r="501" spans="3:14" x14ac:dyDescent="0.35"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</row>
    <row r="502" spans="3:14" x14ac:dyDescent="0.35"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</row>
    <row r="503" spans="3:14" x14ac:dyDescent="0.35"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</row>
    <row r="504" spans="3:14" x14ac:dyDescent="0.35"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</row>
    <row r="505" spans="3:14" x14ac:dyDescent="0.35"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</row>
    <row r="506" spans="3:14" x14ac:dyDescent="0.35"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</row>
    <row r="507" spans="3:14" x14ac:dyDescent="0.35"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</row>
    <row r="508" spans="3:14" x14ac:dyDescent="0.35"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</row>
    <row r="509" spans="3:14" x14ac:dyDescent="0.35"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</row>
    <row r="510" spans="3:14" x14ac:dyDescent="0.35"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</row>
    <row r="511" spans="3:14" x14ac:dyDescent="0.35"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</row>
    <row r="512" spans="3:14" x14ac:dyDescent="0.35"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</row>
    <row r="513" spans="3:14" x14ac:dyDescent="0.35"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</row>
    <row r="514" spans="3:14" x14ac:dyDescent="0.35"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</row>
    <row r="515" spans="3:14" x14ac:dyDescent="0.35"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</row>
    <row r="516" spans="3:14" x14ac:dyDescent="0.35"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</row>
    <row r="517" spans="3:14" x14ac:dyDescent="0.35"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</row>
    <row r="518" spans="3:14" x14ac:dyDescent="0.35"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</row>
    <row r="519" spans="3:14" x14ac:dyDescent="0.35"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</row>
    <row r="520" spans="3:14" x14ac:dyDescent="0.35"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</row>
    <row r="521" spans="3:14" x14ac:dyDescent="0.35"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</row>
    <row r="522" spans="3:14" x14ac:dyDescent="0.35"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</row>
    <row r="523" spans="3:14" x14ac:dyDescent="0.35"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</row>
    <row r="524" spans="3:14" x14ac:dyDescent="0.35"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</row>
    <row r="525" spans="3:14" x14ac:dyDescent="0.35"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</row>
    <row r="526" spans="3:14" x14ac:dyDescent="0.35"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</row>
    <row r="527" spans="3:14" x14ac:dyDescent="0.35"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</row>
    <row r="528" spans="3:14" x14ac:dyDescent="0.35"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</row>
    <row r="529" spans="3:14" x14ac:dyDescent="0.35"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</row>
    <row r="530" spans="3:14" x14ac:dyDescent="0.35"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</row>
    <row r="531" spans="3:14" x14ac:dyDescent="0.35"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</row>
    <row r="532" spans="3:14" x14ac:dyDescent="0.35"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</row>
    <row r="533" spans="3:14" x14ac:dyDescent="0.35"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</row>
    <row r="534" spans="3:14" x14ac:dyDescent="0.35"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</row>
    <row r="535" spans="3:14" x14ac:dyDescent="0.35"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</row>
    <row r="536" spans="3:14" x14ac:dyDescent="0.35"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</row>
    <row r="537" spans="3:14" x14ac:dyDescent="0.35"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</row>
    <row r="538" spans="3:14" x14ac:dyDescent="0.35"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</row>
    <row r="539" spans="3:14" x14ac:dyDescent="0.35"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</row>
    <row r="540" spans="3:14" x14ac:dyDescent="0.35"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</row>
    <row r="541" spans="3:14" x14ac:dyDescent="0.35"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</row>
    <row r="542" spans="3:14" x14ac:dyDescent="0.35"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</row>
    <row r="543" spans="3:14" x14ac:dyDescent="0.35"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</row>
    <row r="544" spans="3:14" x14ac:dyDescent="0.35"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</row>
    <row r="545" spans="3:14" x14ac:dyDescent="0.35"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</row>
    <row r="546" spans="3:14" x14ac:dyDescent="0.35"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</row>
    <row r="547" spans="3:14" x14ac:dyDescent="0.35"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</row>
    <row r="548" spans="3:14" x14ac:dyDescent="0.35"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</row>
    <row r="549" spans="3:14" x14ac:dyDescent="0.35"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</row>
    <row r="550" spans="3:14" x14ac:dyDescent="0.35"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</row>
    <row r="551" spans="3:14" x14ac:dyDescent="0.35"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</row>
    <row r="552" spans="3:14" x14ac:dyDescent="0.35"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</row>
    <row r="553" spans="3:14" x14ac:dyDescent="0.35"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</row>
    <row r="554" spans="3:14" x14ac:dyDescent="0.35"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</row>
    <row r="555" spans="3:14" x14ac:dyDescent="0.35"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</row>
    <row r="556" spans="3:14" x14ac:dyDescent="0.35"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</row>
    <row r="557" spans="3:14" x14ac:dyDescent="0.35"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</row>
    <row r="558" spans="3:14" x14ac:dyDescent="0.35"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</row>
    <row r="559" spans="3:14" x14ac:dyDescent="0.35"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</row>
    <row r="560" spans="3:14" x14ac:dyDescent="0.35"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</row>
    <row r="561" spans="3:14" x14ac:dyDescent="0.35"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</row>
    <row r="562" spans="3:14" x14ac:dyDescent="0.35"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</row>
    <row r="563" spans="3:14" x14ac:dyDescent="0.35"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</row>
    <row r="564" spans="3:14" x14ac:dyDescent="0.35"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</row>
    <row r="565" spans="3:14" x14ac:dyDescent="0.35"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</row>
    <row r="566" spans="3:14" x14ac:dyDescent="0.35"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</row>
    <row r="567" spans="3:14" x14ac:dyDescent="0.35"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</row>
    <row r="568" spans="3:14" x14ac:dyDescent="0.35"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</row>
    <row r="569" spans="3:14" x14ac:dyDescent="0.35"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</row>
    <row r="570" spans="3:14" x14ac:dyDescent="0.35"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</row>
    <row r="571" spans="3:14" x14ac:dyDescent="0.35"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</row>
    <row r="572" spans="3:14" x14ac:dyDescent="0.35"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</row>
    <row r="573" spans="3:14" x14ac:dyDescent="0.35"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</row>
    <row r="574" spans="3:14" x14ac:dyDescent="0.35"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</row>
    <row r="575" spans="3:14" x14ac:dyDescent="0.35"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</row>
    <row r="576" spans="3:14" x14ac:dyDescent="0.35"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</row>
    <row r="577" spans="3:14" x14ac:dyDescent="0.35"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</row>
    <row r="578" spans="3:14" x14ac:dyDescent="0.35"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</row>
    <row r="579" spans="3:14" x14ac:dyDescent="0.35"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</row>
    <row r="580" spans="3:14" x14ac:dyDescent="0.35"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</row>
    <row r="581" spans="3:14" x14ac:dyDescent="0.35"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</row>
    <row r="582" spans="3:14" x14ac:dyDescent="0.35"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</row>
    <row r="583" spans="3:14" x14ac:dyDescent="0.35"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</row>
    <row r="584" spans="3:14" x14ac:dyDescent="0.35"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</row>
    <row r="585" spans="3:14" x14ac:dyDescent="0.35"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</row>
    <row r="586" spans="3:14" x14ac:dyDescent="0.35"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</row>
    <row r="587" spans="3:14" x14ac:dyDescent="0.35"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</row>
    <row r="588" spans="3:14" x14ac:dyDescent="0.35"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</row>
    <row r="589" spans="3:14" x14ac:dyDescent="0.35"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</row>
    <row r="590" spans="3:14" x14ac:dyDescent="0.35"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</row>
    <row r="591" spans="3:14" x14ac:dyDescent="0.35"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</row>
    <row r="592" spans="3:14" x14ac:dyDescent="0.35"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</row>
    <row r="593" spans="3:14" x14ac:dyDescent="0.35"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</row>
    <row r="594" spans="3:14" x14ac:dyDescent="0.35"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</row>
    <row r="595" spans="3:14" x14ac:dyDescent="0.35"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</row>
    <row r="596" spans="3:14" x14ac:dyDescent="0.35"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</row>
    <row r="597" spans="3:14" x14ac:dyDescent="0.35"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</row>
    <row r="598" spans="3:14" x14ac:dyDescent="0.35"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</row>
    <row r="599" spans="3:14" x14ac:dyDescent="0.35"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</row>
    <row r="600" spans="3:14" x14ac:dyDescent="0.35"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</row>
    <row r="601" spans="3:14" x14ac:dyDescent="0.35"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</row>
    <row r="602" spans="3:14" x14ac:dyDescent="0.35"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</row>
    <row r="603" spans="3:14" x14ac:dyDescent="0.35"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</row>
    <row r="604" spans="3:14" x14ac:dyDescent="0.35"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</row>
    <row r="605" spans="3:14" x14ac:dyDescent="0.35"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</row>
    <row r="606" spans="3:14" x14ac:dyDescent="0.35"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</row>
    <row r="607" spans="3:14" x14ac:dyDescent="0.35"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</row>
    <row r="608" spans="3:14" x14ac:dyDescent="0.35"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</row>
    <row r="609" spans="3:14" x14ac:dyDescent="0.35"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</row>
    <row r="610" spans="3:14" x14ac:dyDescent="0.35"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</row>
    <row r="611" spans="3:14" x14ac:dyDescent="0.35"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</row>
    <row r="612" spans="3:14" x14ac:dyDescent="0.35"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</row>
    <row r="613" spans="3:14" x14ac:dyDescent="0.35"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</row>
    <row r="614" spans="3:14" x14ac:dyDescent="0.35"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</row>
    <row r="615" spans="3:14" x14ac:dyDescent="0.35"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</row>
    <row r="616" spans="3:14" x14ac:dyDescent="0.35"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</row>
    <row r="617" spans="3:14" x14ac:dyDescent="0.35"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</row>
    <row r="618" spans="3:14" x14ac:dyDescent="0.35"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</row>
    <row r="619" spans="3:14" x14ac:dyDescent="0.35"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</row>
    <row r="620" spans="3:14" x14ac:dyDescent="0.35"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</row>
    <row r="621" spans="3:14" x14ac:dyDescent="0.35"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</row>
    <row r="622" spans="3:14" x14ac:dyDescent="0.35"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</row>
    <row r="623" spans="3:14" x14ac:dyDescent="0.35"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</row>
    <row r="624" spans="3:14" x14ac:dyDescent="0.35"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</row>
    <row r="625" spans="3:14" x14ac:dyDescent="0.35"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</row>
    <row r="626" spans="3:14" x14ac:dyDescent="0.35"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</row>
    <row r="627" spans="3:14" x14ac:dyDescent="0.35"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</row>
    <row r="628" spans="3:14" x14ac:dyDescent="0.35"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</row>
    <row r="629" spans="3:14" x14ac:dyDescent="0.35"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</row>
    <row r="630" spans="3:14" x14ac:dyDescent="0.35"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</row>
    <row r="631" spans="3:14" x14ac:dyDescent="0.35"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</row>
    <row r="632" spans="3:14" x14ac:dyDescent="0.35"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</row>
    <row r="633" spans="3:14" x14ac:dyDescent="0.35"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</row>
    <row r="634" spans="3:14" x14ac:dyDescent="0.35"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</row>
    <row r="635" spans="3:14" x14ac:dyDescent="0.35"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</row>
    <row r="636" spans="3:14" x14ac:dyDescent="0.35"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</row>
    <row r="637" spans="3:14" x14ac:dyDescent="0.35"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</row>
    <row r="638" spans="3:14" x14ac:dyDescent="0.35"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</row>
    <row r="639" spans="3:14" x14ac:dyDescent="0.35"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</row>
    <row r="640" spans="3:14" x14ac:dyDescent="0.35"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</row>
    <row r="641" spans="3:14" x14ac:dyDescent="0.35"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</row>
    <row r="642" spans="3:14" x14ac:dyDescent="0.35"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</row>
    <row r="643" spans="3:14" x14ac:dyDescent="0.35"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</row>
    <row r="644" spans="3:14" x14ac:dyDescent="0.35"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</row>
    <row r="645" spans="3:14" x14ac:dyDescent="0.35"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</row>
    <row r="646" spans="3:14" x14ac:dyDescent="0.35"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</row>
    <row r="647" spans="3:14" x14ac:dyDescent="0.35"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</row>
    <row r="648" spans="3:14" x14ac:dyDescent="0.35"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</row>
    <row r="649" spans="3:14" x14ac:dyDescent="0.35"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</row>
    <row r="650" spans="3:14" x14ac:dyDescent="0.35"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</row>
    <row r="651" spans="3:14" x14ac:dyDescent="0.35"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</row>
    <row r="652" spans="3:14" x14ac:dyDescent="0.35"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</row>
    <row r="653" spans="3:14" x14ac:dyDescent="0.35"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</row>
    <row r="654" spans="3:14" x14ac:dyDescent="0.35"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</row>
    <row r="655" spans="3:14" x14ac:dyDescent="0.35"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</row>
    <row r="656" spans="3:14" x14ac:dyDescent="0.35"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</row>
    <row r="657" spans="3:14" x14ac:dyDescent="0.35"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</row>
    <row r="658" spans="3:14" x14ac:dyDescent="0.35"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</row>
    <row r="659" spans="3:14" x14ac:dyDescent="0.35"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</row>
    <row r="660" spans="3:14" x14ac:dyDescent="0.35"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</row>
    <row r="661" spans="3:14" x14ac:dyDescent="0.35"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</row>
    <row r="662" spans="3:14" x14ac:dyDescent="0.35"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</row>
    <row r="663" spans="3:14" x14ac:dyDescent="0.35"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</row>
    <row r="664" spans="3:14" x14ac:dyDescent="0.35"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</row>
    <row r="665" spans="3:14" x14ac:dyDescent="0.35"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</row>
    <row r="666" spans="3:14" x14ac:dyDescent="0.35"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</row>
    <row r="667" spans="3:14" x14ac:dyDescent="0.35"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</row>
    <row r="668" spans="3:14" x14ac:dyDescent="0.35"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</row>
    <row r="669" spans="3:14" x14ac:dyDescent="0.35"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</row>
    <row r="670" spans="3:14" x14ac:dyDescent="0.35"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</row>
    <row r="671" spans="3:14" x14ac:dyDescent="0.35"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</row>
    <row r="672" spans="3:14" x14ac:dyDescent="0.35"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</row>
    <row r="673" spans="3:14" x14ac:dyDescent="0.35"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</row>
    <row r="674" spans="3:14" x14ac:dyDescent="0.35"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</row>
    <row r="675" spans="3:14" x14ac:dyDescent="0.35"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</row>
    <row r="676" spans="3:14" x14ac:dyDescent="0.35"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</row>
    <row r="677" spans="3:14" x14ac:dyDescent="0.35"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</row>
    <row r="678" spans="3:14" x14ac:dyDescent="0.35"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</row>
    <row r="679" spans="3:14" x14ac:dyDescent="0.35"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</row>
    <row r="680" spans="3:14" x14ac:dyDescent="0.35"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</row>
    <row r="681" spans="3:14" x14ac:dyDescent="0.35"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</row>
    <row r="682" spans="3:14" x14ac:dyDescent="0.35"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</row>
    <row r="683" spans="3:14" x14ac:dyDescent="0.35"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</row>
    <row r="684" spans="3:14" x14ac:dyDescent="0.35"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</row>
    <row r="685" spans="3:14" x14ac:dyDescent="0.35"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</row>
    <row r="686" spans="3:14" x14ac:dyDescent="0.35"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</row>
    <row r="687" spans="3:14" x14ac:dyDescent="0.35"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</row>
    <row r="688" spans="3:14" x14ac:dyDescent="0.35"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</row>
    <row r="689" spans="3:14" x14ac:dyDescent="0.35"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</row>
    <row r="690" spans="3:14" x14ac:dyDescent="0.35"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</row>
    <row r="691" spans="3:14" x14ac:dyDescent="0.35"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</row>
    <row r="692" spans="3:14" x14ac:dyDescent="0.35"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</row>
    <row r="693" spans="3:14" x14ac:dyDescent="0.35"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</row>
    <row r="694" spans="3:14" x14ac:dyDescent="0.35"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</row>
    <row r="695" spans="3:14" x14ac:dyDescent="0.35"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</row>
    <row r="696" spans="3:14" x14ac:dyDescent="0.35"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</row>
    <row r="697" spans="3:14" x14ac:dyDescent="0.35"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</row>
    <row r="698" spans="3:14" x14ac:dyDescent="0.35"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</row>
    <row r="699" spans="3:14" x14ac:dyDescent="0.35"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</row>
    <row r="700" spans="3:14" x14ac:dyDescent="0.35"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</row>
    <row r="701" spans="3:14" x14ac:dyDescent="0.35"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</row>
    <row r="702" spans="3:14" x14ac:dyDescent="0.35"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</row>
    <row r="703" spans="3:14" x14ac:dyDescent="0.35"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</row>
    <row r="704" spans="3:14" x14ac:dyDescent="0.35"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</row>
    <row r="705" spans="3:14" x14ac:dyDescent="0.35"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</row>
    <row r="706" spans="3:14" x14ac:dyDescent="0.35"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</row>
    <row r="707" spans="3:14" x14ac:dyDescent="0.35"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</row>
    <row r="708" spans="3:14" x14ac:dyDescent="0.35"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</row>
    <row r="709" spans="3:14" x14ac:dyDescent="0.35"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</row>
    <row r="710" spans="3:14" x14ac:dyDescent="0.35"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</row>
    <row r="711" spans="3:14" x14ac:dyDescent="0.35"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</row>
    <row r="712" spans="3:14" x14ac:dyDescent="0.35"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</row>
    <row r="713" spans="3:14" x14ac:dyDescent="0.35"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</row>
    <row r="714" spans="3:14" x14ac:dyDescent="0.35"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</row>
    <row r="715" spans="3:14" x14ac:dyDescent="0.35"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</row>
    <row r="716" spans="3:14" x14ac:dyDescent="0.35"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</row>
    <row r="717" spans="3:14" x14ac:dyDescent="0.35"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</row>
    <row r="718" spans="3:14" x14ac:dyDescent="0.35"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</row>
    <row r="719" spans="3:14" x14ac:dyDescent="0.35"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</row>
    <row r="720" spans="3:14" x14ac:dyDescent="0.35"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</row>
    <row r="721" spans="3:14" x14ac:dyDescent="0.35"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</row>
    <row r="722" spans="3:14" x14ac:dyDescent="0.35"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</row>
    <row r="723" spans="3:14" x14ac:dyDescent="0.35"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</row>
    <row r="724" spans="3:14" x14ac:dyDescent="0.35"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</row>
    <row r="725" spans="3:14" x14ac:dyDescent="0.35"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</row>
    <row r="726" spans="3:14" x14ac:dyDescent="0.35"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</row>
    <row r="727" spans="3:14" x14ac:dyDescent="0.35"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</row>
    <row r="728" spans="3:14" x14ac:dyDescent="0.35"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</row>
    <row r="729" spans="3:14" x14ac:dyDescent="0.35"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</row>
    <row r="730" spans="3:14" x14ac:dyDescent="0.35"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</row>
    <row r="731" spans="3:14" x14ac:dyDescent="0.35"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</row>
    <row r="732" spans="3:14" x14ac:dyDescent="0.35"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</row>
    <row r="733" spans="3:14" x14ac:dyDescent="0.35"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</row>
    <row r="734" spans="3:14" x14ac:dyDescent="0.35"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</row>
    <row r="735" spans="3:14" x14ac:dyDescent="0.35"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</row>
    <row r="736" spans="3:14" x14ac:dyDescent="0.35"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</row>
    <row r="737" spans="3:14" x14ac:dyDescent="0.35"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</row>
    <row r="738" spans="3:14" x14ac:dyDescent="0.35"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</row>
    <row r="739" spans="3:14" x14ac:dyDescent="0.35"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</row>
    <row r="740" spans="3:14" x14ac:dyDescent="0.35"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</row>
    <row r="741" spans="3:14" x14ac:dyDescent="0.35"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</row>
    <row r="742" spans="3:14" x14ac:dyDescent="0.35"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</row>
    <row r="743" spans="3:14" x14ac:dyDescent="0.35"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</row>
    <row r="744" spans="3:14" x14ac:dyDescent="0.35"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</row>
    <row r="745" spans="3:14" x14ac:dyDescent="0.35"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</row>
    <row r="746" spans="3:14" x14ac:dyDescent="0.35"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</row>
    <row r="747" spans="3:14" x14ac:dyDescent="0.35"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</row>
    <row r="748" spans="3:14" x14ac:dyDescent="0.35"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</row>
    <row r="749" spans="3:14" x14ac:dyDescent="0.35"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</row>
    <row r="750" spans="3:14" x14ac:dyDescent="0.35"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</row>
    <row r="751" spans="3:14" x14ac:dyDescent="0.35"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</row>
    <row r="752" spans="3:14" x14ac:dyDescent="0.35"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</row>
    <row r="753" spans="3:14" x14ac:dyDescent="0.35"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</row>
    <row r="754" spans="3:14" x14ac:dyDescent="0.35"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</row>
    <row r="755" spans="3:14" x14ac:dyDescent="0.35"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</row>
    <row r="756" spans="3:14" x14ac:dyDescent="0.35"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</row>
    <row r="757" spans="3:14" x14ac:dyDescent="0.35"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</row>
    <row r="758" spans="3:14" x14ac:dyDescent="0.35"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</row>
    <row r="759" spans="3:14" x14ac:dyDescent="0.35"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</row>
    <row r="760" spans="3:14" x14ac:dyDescent="0.35"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</row>
    <row r="761" spans="3:14" x14ac:dyDescent="0.35"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</row>
    <row r="762" spans="3:14" x14ac:dyDescent="0.35"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</row>
    <row r="763" spans="3:14" x14ac:dyDescent="0.35"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</row>
    <row r="764" spans="3:14" x14ac:dyDescent="0.35"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</row>
    <row r="765" spans="3:14" x14ac:dyDescent="0.35"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</row>
    <row r="766" spans="3:14" x14ac:dyDescent="0.35"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</row>
    <row r="767" spans="3:14" x14ac:dyDescent="0.35"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</row>
    <row r="768" spans="3:14" x14ac:dyDescent="0.35"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</row>
    <row r="769" spans="3:14" x14ac:dyDescent="0.35"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</row>
    <row r="770" spans="3:14" x14ac:dyDescent="0.35"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</row>
    <row r="771" spans="3:14" x14ac:dyDescent="0.35"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</row>
    <row r="772" spans="3:14" x14ac:dyDescent="0.35"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</row>
    <row r="773" spans="3:14" x14ac:dyDescent="0.35"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</row>
    <row r="774" spans="3:14" x14ac:dyDescent="0.35"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</row>
    <row r="775" spans="3:14" x14ac:dyDescent="0.35"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</row>
    <row r="776" spans="3:14" x14ac:dyDescent="0.35"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</row>
    <row r="777" spans="3:14" x14ac:dyDescent="0.35"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</row>
    <row r="778" spans="3:14" x14ac:dyDescent="0.35"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</row>
    <row r="779" spans="3:14" x14ac:dyDescent="0.35"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</row>
    <row r="780" spans="3:14" x14ac:dyDescent="0.35"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</row>
    <row r="781" spans="3:14" x14ac:dyDescent="0.35"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</row>
    <row r="782" spans="3:14" x14ac:dyDescent="0.35"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</row>
    <row r="783" spans="3:14" x14ac:dyDescent="0.35"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</row>
    <row r="784" spans="3:14" x14ac:dyDescent="0.35"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</row>
    <row r="785" spans="3:14" x14ac:dyDescent="0.35"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</row>
    <row r="786" spans="3:14" x14ac:dyDescent="0.35"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</row>
    <row r="787" spans="3:14" x14ac:dyDescent="0.35"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</row>
    <row r="788" spans="3:14" x14ac:dyDescent="0.35"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</row>
    <row r="789" spans="3:14" x14ac:dyDescent="0.35"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</row>
    <row r="790" spans="3:14" x14ac:dyDescent="0.35"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</row>
    <row r="791" spans="3:14" x14ac:dyDescent="0.35"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</row>
    <row r="792" spans="3:14" x14ac:dyDescent="0.35"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</row>
    <row r="793" spans="3:14" x14ac:dyDescent="0.35"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</row>
    <row r="794" spans="3:14" x14ac:dyDescent="0.35"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</row>
    <row r="795" spans="3:14" x14ac:dyDescent="0.35"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</row>
    <row r="796" spans="3:14" x14ac:dyDescent="0.35"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</row>
    <row r="797" spans="3:14" x14ac:dyDescent="0.35"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</row>
    <row r="798" spans="3:14" x14ac:dyDescent="0.35"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</row>
    <row r="799" spans="3:14" x14ac:dyDescent="0.35"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</row>
    <row r="800" spans="3:14" x14ac:dyDescent="0.35"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</row>
    <row r="801" spans="3:14" x14ac:dyDescent="0.35"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</row>
    <row r="802" spans="3:14" x14ac:dyDescent="0.35"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</row>
    <row r="803" spans="3:14" x14ac:dyDescent="0.35"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</row>
    <row r="804" spans="3:14" x14ac:dyDescent="0.35"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</row>
    <row r="805" spans="3:14" x14ac:dyDescent="0.35"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</row>
    <row r="806" spans="3:14" x14ac:dyDescent="0.35"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</row>
    <row r="807" spans="3:14" x14ac:dyDescent="0.35"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</row>
    <row r="808" spans="3:14" x14ac:dyDescent="0.35"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</row>
    <row r="809" spans="3:14" x14ac:dyDescent="0.35"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</row>
    <row r="810" spans="3:14" x14ac:dyDescent="0.35"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</row>
    <row r="811" spans="3:14" x14ac:dyDescent="0.35"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</row>
    <row r="812" spans="3:14" x14ac:dyDescent="0.35"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</row>
    <row r="813" spans="3:14" x14ac:dyDescent="0.35"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</row>
    <row r="814" spans="3:14" x14ac:dyDescent="0.35"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</row>
    <row r="815" spans="3:14" x14ac:dyDescent="0.35"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</row>
    <row r="816" spans="3:14" x14ac:dyDescent="0.35"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</row>
    <row r="817" spans="3:14" x14ac:dyDescent="0.35"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</row>
    <row r="818" spans="3:14" x14ac:dyDescent="0.35"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</row>
    <row r="819" spans="3:14" x14ac:dyDescent="0.35"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</row>
    <row r="820" spans="3:14" x14ac:dyDescent="0.35"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</row>
    <row r="821" spans="3:14" x14ac:dyDescent="0.35"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</row>
    <row r="822" spans="3:14" x14ac:dyDescent="0.35"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</row>
    <row r="823" spans="3:14" x14ac:dyDescent="0.35"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</row>
    <row r="824" spans="3:14" x14ac:dyDescent="0.35"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</row>
    <row r="825" spans="3:14" x14ac:dyDescent="0.35"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</row>
    <row r="826" spans="3:14" x14ac:dyDescent="0.35"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</row>
    <row r="827" spans="3:14" x14ac:dyDescent="0.35"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</row>
    <row r="828" spans="3:14" x14ac:dyDescent="0.35"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</row>
    <row r="829" spans="3:14" x14ac:dyDescent="0.35"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</row>
    <row r="830" spans="3:14" x14ac:dyDescent="0.35"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</row>
    <row r="831" spans="3:14" x14ac:dyDescent="0.35"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</row>
    <row r="832" spans="3:14" x14ac:dyDescent="0.35"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</row>
    <row r="833" spans="3:14" x14ac:dyDescent="0.35"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</row>
    <row r="834" spans="3:14" x14ac:dyDescent="0.35"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</row>
    <row r="835" spans="3:14" x14ac:dyDescent="0.35"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</row>
    <row r="836" spans="3:14" x14ac:dyDescent="0.35"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</row>
    <row r="837" spans="3:14" x14ac:dyDescent="0.35"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</row>
    <row r="838" spans="3:14" x14ac:dyDescent="0.35"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</row>
    <row r="839" spans="3:14" x14ac:dyDescent="0.35"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</row>
    <row r="840" spans="3:14" x14ac:dyDescent="0.35"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</row>
    <row r="841" spans="3:14" x14ac:dyDescent="0.35"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</row>
    <row r="842" spans="3:14" x14ac:dyDescent="0.35"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</row>
    <row r="843" spans="3:14" x14ac:dyDescent="0.35"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</row>
    <row r="844" spans="3:14" x14ac:dyDescent="0.35"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</row>
    <row r="845" spans="3:14" x14ac:dyDescent="0.35"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</row>
    <row r="846" spans="3:14" x14ac:dyDescent="0.35"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</row>
    <row r="847" spans="3:14" x14ac:dyDescent="0.35"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</row>
    <row r="848" spans="3:14" x14ac:dyDescent="0.35"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</row>
    <row r="849" spans="3:14" x14ac:dyDescent="0.35"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</row>
    <row r="850" spans="3:14" x14ac:dyDescent="0.35"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</row>
    <row r="851" spans="3:14" x14ac:dyDescent="0.35"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</row>
    <row r="852" spans="3:14" x14ac:dyDescent="0.35"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</row>
    <row r="853" spans="3:14" x14ac:dyDescent="0.35"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</row>
    <row r="854" spans="3:14" x14ac:dyDescent="0.35"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</row>
    <row r="855" spans="3:14" x14ac:dyDescent="0.35"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</row>
    <row r="856" spans="3:14" x14ac:dyDescent="0.35"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</row>
    <row r="857" spans="3:14" x14ac:dyDescent="0.35"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</row>
    <row r="858" spans="3:14" x14ac:dyDescent="0.35"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</row>
    <row r="859" spans="3:14" x14ac:dyDescent="0.35"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</row>
    <row r="860" spans="3:14" x14ac:dyDescent="0.35"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</row>
    <row r="861" spans="3:14" x14ac:dyDescent="0.35"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</row>
    <row r="862" spans="3:14" x14ac:dyDescent="0.35"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</row>
    <row r="863" spans="3:14" x14ac:dyDescent="0.35"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</row>
    <row r="864" spans="3:14" x14ac:dyDescent="0.35"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</row>
    <row r="865" spans="3:14" x14ac:dyDescent="0.35"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</row>
    <row r="866" spans="3:14" x14ac:dyDescent="0.35"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</row>
    <row r="867" spans="3:14" x14ac:dyDescent="0.35"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</row>
    <row r="868" spans="3:14" x14ac:dyDescent="0.35"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</row>
    <row r="869" spans="3:14" x14ac:dyDescent="0.35"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</row>
    <row r="870" spans="3:14" x14ac:dyDescent="0.35"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</row>
    <row r="871" spans="3:14" x14ac:dyDescent="0.35"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</row>
    <row r="872" spans="3:14" x14ac:dyDescent="0.35"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</row>
    <row r="873" spans="3:14" x14ac:dyDescent="0.35"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</row>
    <row r="874" spans="3:14" x14ac:dyDescent="0.35"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</row>
    <row r="875" spans="3:14" x14ac:dyDescent="0.35"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</row>
    <row r="876" spans="3:14" x14ac:dyDescent="0.35"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</row>
    <row r="877" spans="3:14" x14ac:dyDescent="0.35"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</row>
    <row r="878" spans="3:14" x14ac:dyDescent="0.35"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</row>
    <row r="879" spans="3:14" x14ac:dyDescent="0.35"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</row>
    <row r="880" spans="3:14" x14ac:dyDescent="0.35"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</row>
    <row r="881" spans="3:14" x14ac:dyDescent="0.35"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</row>
    <row r="882" spans="3:14" x14ac:dyDescent="0.35"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</row>
    <row r="883" spans="3:14" x14ac:dyDescent="0.35"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</row>
    <row r="884" spans="3:14" x14ac:dyDescent="0.35"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</row>
    <row r="885" spans="3:14" x14ac:dyDescent="0.35"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</row>
    <row r="886" spans="3:14" x14ac:dyDescent="0.35"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</row>
    <row r="887" spans="3:14" x14ac:dyDescent="0.35"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</row>
    <row r="888" spans="3:14" x14ac:dyDescent="0.35"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</row>
    <row r="889" spans="3:14" x14ac:dyDescent="0.35"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</row>
    <row r="890" spans="3:14" x14ac:dyDescent="0.35"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</row>
    <row r="891" spans="3:14" x14ac:dyDescent="0.35"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</row>
    <row r="892" spans="3:14" x14ac:dyDescent="0.35"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</row>
    <row r="893" spans="3:14" x14ac:dyDescent="0.35"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</row>
    <row r="894" spans="3:14" x14ac:dyDescent="0.35"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</row>
    <row r="895" spans="3:14" x14ac:dyDescent="0.35"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</row>
    <row r="896" spans="3:14" x14ac:dyDescent="0.35"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</row>
    <row r="897" spans="3:14" x14ac:dyDescent="0.35"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</row>
    <row r="898" spans="3:14" x14ac:dyDescent="0.35"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</row>
    <row r="899" spans="3:14" x14ac:dyDescent="0.35"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</row>
    <row r="900" spans="3:14" x14ac:dyDescent="0.35"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</row>
    <row r="901" spans="3:14" x14ac:dyDescent="0.35"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</row>
    <row r="902" spans="3:14" x14ac:dyDescent="0.35"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</row>
    <row r="903" spans="3:14" x14ac:dyDescent="0.35"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</row>
    <row r="904" spans="3:14" x14ac:dyDescent="0.35"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</row>
    <row r="905" spans="3:14" x14ac:dyDescent="0.35"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</row>
    <row r="906" spans="3:14" x14ac:dyDescent="0.35"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</row>
    <row r="907" spans="3:14" x14ac:dyDescent="0.35"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</row>
    <row r="908" spans="3:14" x14ac:dyDescent="0.35"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</row>
    <row r="909" spans="3:14" x14ac:dyDescent="0.35"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</row>
    <row r="910" spans="3:14" x14ac:dyDescent="0.35"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</row>
    <row r="911" spans="3:14" x14ac:dyDescent="0.35"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</row>
    <row r="912" spans="3:14" x14ac:dyDescent="0.35"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</row>
    <row r="913" spans="3:14" x14ac:dyDescent="0.35"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</row>
    <row r="914" spans="3:14" x14ac:dyDescent="0.35"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</row>
    <row r="915" spans="3:14" x14ac:dyDescent="0.35"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</row>
    <row r="916" spans="3:14" x14ac:dyDescent="0.35"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</row>
    <row r="917" spans="3:14" x14ac:dyDescent="0.35"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</row>
    <row r="918" spans="3:14" x14ac:dyDescent="0.35"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</row>
    <row r="919" spans="3:14" x14ac:dyDescent="0.35"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</row>
    <row r="920" spans="3:14" x14ac:dyDescent="0.35"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</row>
    <row r="921" spans="3:14" x14ac:dyDescent="0.35"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</row>
    <row r="922" spans="3:14" x14ac:dyDescent="0.35"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</row>
    <row r="923" spans="3:14" x14ac:dyDescent="0.35"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</row>
    <row r="924" spans="3:14" x14ac:dyDescent="0.35"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</row>
    <row r="925" spans="3:14" x14ac:dyDescent="0.35"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</row>
    <row r="926" spans="3:14" x14ac:dyDescent="0.35"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</row>
    <row r="927" spans="3:14" x14ac:dyDescent="0.35"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</row>
    <row r="928" spans="3:14" x14ac:dyDescent="0.35"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</row>
    <row r="929" spans="3:14" x14ac:dyDescent="0.35"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</row>
    <row r="930" spans="3:14" x14ac:dyDescent="0.35"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</row>
    <row r="931" spans="3:14" x14ac:dyDescent="0.35"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</row>
    <row r="932" spans="3:14" x14ac:dyDescent="0.35"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</row>
    <row r="933" spans="3:14" x14ac:dyDescent="0.35"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</row>
    <row r="934" spans="3:14" x14ac:dyDescent="0.35"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</row>
    <row r="935" spans="3:14" x14ac:dyDescent="0.35"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</row>
    <row r="936" spans="3:14" x14ac:dyDescent="0.35"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</row>
    <row r="937" spans="3:14" x14ac:dyDescent="0.35"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</row>
    <row r="938" spans="3:14" x14ac:dyDescent="0.35"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</row>
    <row r="939" spans="3:14" x14ac:dyDescent="0.35"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</row>
    <row r="940" spans="3:14" x14ac:dyDescent="0.35"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</row>
    <row r="941" spans="3:14" x14ac:dyDescent="0.35"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</row>
    <row r="942" spans="3:14" x14ac:dyDescent="0.35"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</row>
    <row r="943" spans="3:14" x14ac:dyDescent="0.35"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</row>
    <row r="944" spans="3:14" x14ac:dyDescent="0.35"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</row>
    <row r="945" spans="3:14" x14ac:dyDescent="0.35"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</row>
    <row r="946" spans="3:14" x14ac:dyDescent="0.35"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</row>
    <row r="947" spans="3:14" x14ac:dyDescent="0.35"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</row>
    <row r="948" spans="3:14" x14ac:dyDescent="0.35"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</row>
    <row r="949" spans="3:14" x14ac:dyDescent="0.35"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</row>
    <row r="950" spans="3:14" x14ac:dyDescent="0.35"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</row>
    <row r="951" spans="3:14" x14ac:dyDescent="0.35"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</row>
    <row r="952" spans="3:14" x14ac:dyDescent="0.35"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</row>
    <row r="953" spans="3:14" x14ac:dyDescent="0.35"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</row>
    <row r="954" spans="3:14" x14ac:dyDescent="0.35"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</row>
    <row r="955" spans="3:14" x14ac:dyDescent="0.35"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</row>
    <row r="956" spans="3:14" x14ac:dyDescent="0.35"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</row>
    <row r="957" spans="3:14" x14ac:dyDescent="0.35"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</row>
    <row r="958" spans="3:14" x14ac:dyDescent="0.35"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</row>
    <row r="959" spans="3:14" x14ac:dyDescent="0.35"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</row>
    <row r="960" spans="3:14" x14ac:dyDescent="0.35"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</row>
    <row r="961" spans="3:14" x14ac:dyDescent="0.35"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</row>
    <row r="962" spans="3:14" x14ac:dyDescent="0.35"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</row>
    <row r="963" spans="3:14" x14ac:dyDescent="0.35"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</row>
    <row r="964" spans="3:14" x14ac:dyDescent="0.35"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</row>
    <row r="965" spans="3:14" x14ac:dyDescent="0.35"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</row>
    <row r="966" spans="3:14" x14ac:dyDescent="0.35"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</row>
    <row r="967" spans="3:14" x14ac:dyDescent="0.35"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</row>
    <row r="968" spans="3:14" x14ac:dyDescent="0.35"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</row>
    <row r="969" spans="3:14" x14ac:dyDescent="0.35"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</row>
    <row r="970" spans="3:14" x14ac:dyDescent="0.35"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</row>
    <row r="971" spans="3:14" x14ac:dyDescent="0.35"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</row>
    <row r="972" spans="3:14" x14ac:dyDescent="0.35"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</row>
    <row r="973" spans="3:14" x14ac:dyDescent="0.35"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</row>
    <row r="974" spans="3:14" x14ac:dyDescent="0.35"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</row>
    <row r="975" spans="3:14" x14ac:dyDescent="0.35"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</row>
    <row r="976" spans="3:14" x14ac:dyDescent="0.35"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</row>
    <row r="977" spans="3:14" x14ac:dyDescent="0.35"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</row>
    <row r="978" spans="3:14" x14ac:dyDescent="0.35"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</row>
    <row r="979" spans="3:14" x14ac:dyDescent="0.35"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</row>
    <row r="980" spans="3:14" x14ac:dyDescent="0.35"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</row>
    <row r="981" spans="3:14" x14ac:dyDescent="0.35"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</row>
    <row r="982" spans="3:14" x14ac:dyDescent="0.35"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</row>
    <row r="983" spans="3:14" x14ac:dyDescent="0.35"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</row>
    <row r="984" spans="3:14" x14ac:dyDescent="0.35"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</row>
    <row r="985" spans="3:14" x14ac:dyDescent="0.35"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</row>
    <row r="986" spans="3:14" x14ac:dyDescent="0.35"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</row>
    <row r="987" spans="3:14" x14ac:dyDescent="0.35"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</row>
    <row r="988" spans="3:14" x14ac:dyDescent="0.35"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</row>
    <row r="989" spans="3:14" x14ac:dyDescent="0.35"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</row>
    <row r="990" spans="3:14" x14ac:dyDescent="0.35"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</row>
    <row r="991" spans="3:14" x14ac:dyDescent="0.35"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</row>
    <row r="992" spans="3:14" x14ac:dyDescent="0.35"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</row>
    <row r="993" spans="3:14" x14ac:dyDescent="0.35"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</row>
    <row r="994" spans="3:14" x14ac:dyDescent="0.35"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</row>
    <row r="995" spans="3:14" x14ac:dyDescent="0.35"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</row>
    <row r="996" spans="3:14" x14ac:dyDescent="0.35"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</row>
    <row r="997" spans="3:14" x14ac:dyDescent="0.35"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</row>
    <row r="998" spans="3:14" x14ac:dyDescent="0.35"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</row>
    <row r="999" spans="3:14" x14ac:dyDescent="0.35"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</row>
    <row r="1000" spans="3:14" x14ac:dyDescent="0.35"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</row>
    <row r="1001" spans="3:14" x14ac:dyDescent="0.35"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</row>
    <row r="1002" spans="3:14" x14ac:dyDescent="0.35"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</row>
    <row r="1003" spans="3:14" x14ac:dyDescent="0.35"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</row>
    <row r="1004" spans="3:14" x14ac:dyDescent="0.35"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</row>
    <row r="1005" spans="3:14" x14ac:dyDescent="0.35"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</row>
    <row r="1006" spans="3:14" x14ac:dyDescent="0.35"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</row>
    <row r="1007" spans="3:14" x14ac:dyDescent="0.35"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</row>
    <row r="1008" spans="3:14" x14ac:dyDescent="0.35"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</row>
    <row r="1009" spans="3:14" x14ac:dyDescent="0.35"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</row>
    <row r="1010" spans="3:14" x14ac:dyDescent="0.35"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</row>
    <row r="1011" spans="3:14" x14ac:dyDescent="0.35"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</row>
    <row r="1012" spans="3:14" x14ac:dyDescent="0.35"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</row>
    <row r="1013" spans="3:14" x14ac:dyDescent="0.35"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</row>
    <row r="1014" spans="3:14" x14ac:dyDescent="0.35"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</row>
    <row r="1015" spans="3:14" x14ac:dyDescent="0.35"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</row>
    <row r="1016" spans="3:14" x14ac:dyDescent="0.35"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</row>
    <row r="1017" spans="3:14" x14ac:dyDescent="0.35"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</row>
    <row r="1018" spans="3:14" x14ac:dyDescent="0.35"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</row>
    <row r="1019" spans="3:14" x14ac:dyDescent="0.35"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</row>
    <row r="1020" spans="3:14" x14ac:dyDescent="0.35"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</row>
    <row r="1021" spans="3:14" x14ac:dyDescent="0.35"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</row>
    <row r="1022" spans="3:14" x14ac:dyDescent="0.35"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</row>
    <row r="1023" spans="3:14" x14ac:dyDescent="0.35"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</row>
    <row r="1024" spans="3:14" x14ac:dyDescent="0.35"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</row>
    <row r="1025" spans="3:14" x14ac:dyDescent="0.35"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</row>
    <row r="1026" spans="3:14" x14ac:dyDescent="0.35"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</row>
    <row r="1027" spans="3:14" x14ac:dyDescent="0.35"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</row>
    <row r="1028" spans="3:14" x14ac:dyDescent="0.35"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</row>
    <row r="1029" spans="3:14" x14ac:dyDescent="0.35"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</row>
    <row r="1030" spans="3:14" x14ac:dyDescent="0.35"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</row>
    <row r="1031" spans="3:14" x14ac:dyDescent="0.35"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</row>
    <row r="1032" spans="3:14" x14ac:dyDescent="0.35"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</row>
    <row r="1033" spans="3:14" x14ac:dyDescent="0.35"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</row>
    <row r="1034" spans="3:14" x14ac:dyDescent="0.35"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</row>
    <row r="1035" spans="3:14" x14ac:dyDescent="0.35"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</row>
    <row r="1036" spans="3:14" x14ac:dyDescent="0.35"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</row>
    <row r="1037" spans="3:14" x14ac:dyDescent="0.35"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</row>
    <row r="1038" spans="3:14" x14ac:dyDescent="0.35"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</row>
    <row r="1039" spans="3:14" x14ac:dyDescent="0.35"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</row>
    <row r="1040" spans="3:14" x14ac:dyDescent="0.35"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</row>
    <row r="1041" spans="3:14" x14ac:dyDescent="0.35"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</row>
    <row r="1042" spans="3:14" x14ac:dyDescent="0.35"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</row>
    <row r="1043" spans="3:14" x14ac:dyDescent="0.35"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</row>
    <row r="1044" spans="3:14" x14ac:dyDescent="0.35"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</row>
    <row r="1045" spans="3:14" x14ac:dyDescent="0.35"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</row>
    <row r="1046" spans="3:14" x14ac:dyDescent="0.35"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</row>
    <row r="1047" spans="3:14" x14ac:dyDescent="0.35"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</row>
    <row r="1048" spans="3:14" x14ac:dyDescent="0.35"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</row>
    <row r="1049" spans="3:14" x14ac:dyDescent="0.35"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</row>
    <row r="1050" spans="3:14" x14ac:dyDescent="0.35"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</row>
    <row r="1051" spans="3:14" x14ac:dyDescent="0.35"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</row>
    <row r="1052" spans="3:14" x14ac:dyDescent="0.35"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</row>
    <row r="1053" spans="3:14" x14ac:dyDescent="0.35"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</row>
    <row r="1054" spans="3:14" x14ac:dyDescent="0.35"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</row>
    <row r="1055" spans="3:14" x14ac:dyDescent="0.35"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</row>
    <row r="1056" spans="3:14" x14ac:dyDescent="0.35"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</row>
    <row r="1057" spans="3:14" x14ac:dyDescent="0.35"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</row>
    <row r="1058" spans="3:14" x14ac:dyDescent="0.35"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</row>
    <row r="1059" spans="3:14" x14ac:dyDescent="0.35"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</row>
    <row r="1060" spans="3:14" x14ac:dyDescent="0.35"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</row>
    <row r="1061" spans="3:14" x14ac:dyDescent="0.35"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</row>
    <row r="1062" spans="3:14" x14ac:dyDescent="0.35"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</row>
    <row r="1063" spans="3:14" x14ac:dyDescent="0.35"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</row>
    <row r="1064" spans="3:14" x14ac:dyDescent="0.35"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</row>
    <row r="1065" spans="3:14" x14ac:dyDescent="0.35"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</row>
    <row r="1066" spans="3:14" x14ac:dyDescent="0.35"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</row>
    <row r="1067" spans="3:14" x14ac:dyDescent="0.35"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</row>
    <row r="1068" spans="3:14" x14ac:dyDescent="0.35"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</row>
    <row r="1069" spans="3:14" x14ac:dyDescent="0.35"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</row>
    <row r="1070" spans="3:14" x14ac:dyDescent="0.35"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</row>
    <row r="1071" spans="3:14" x14ac:dyDescent="0.35"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</row>
    <row r="1072" spans="3:14" x14ac:dyDescent="0.35"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</row>
    <row r="1073" spans="3:14" x14ac:dyDescent="0.35"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</row>
    <row r="1074" spans="3:14" x14ac:dyDescent="0.35"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</row>
    <row r="1075" spans="3:14" x14ac:dyDescent="0.35"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</row>
    <row r="1076" spans="3:14" x14ac:dyDescent="0.35"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</row>
    <row r="1077" spans="3:14" x14ac:dyDescent="0.35"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</row>
    <row r="1078" spans="3:14" x14ac:dyDescent="0.35"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</row>
    <row r="1079" spans="3:14" x14ac:dyDescent="0.35"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</row>
    <row r="1080" spans="3:14" x14ac:dyDescent="0.35"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</row>
    <row r="1081" spans="3:14" x14ac:dyDescent="0.35"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</row>
    <row r="1082" spans="3:14" x14ac:dyDescent="0.35"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</row>
    <row r="1083" spans="3:14" x14ac:dyDescent="0.35"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</row>
    <row r="1084" spans="3:14" x14ac:dyDescent="0.35"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</row>
    <row r="1085" spans="3:14" x14ac:dyDescent="0.35"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</row>
    <row r="1086" spans="3:14" x14ac:dyDescent="0.35"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</row>
    <row r="1087" spans="3:14" x14ac:dyDescent="0.35"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</row>
    <row r="1088" spans="3:14" x14ac:dyDescent="0.35"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</row>
    <row r="1089" spans="3:14" x14ac:dyDescent="0.35"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</row>
    <row r="1090" spans="3:14" x14ac:dyDescent="0.35"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</row>
    <row r="1091" spans="3:14" x14ac:dyDescent="0.35"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</row>
    <row r="1092" spans="3:14" x14ac:dyDescent="0.35"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</row>
    <row r="1093" spans="3:14" x14ac:dyDescent="0.35"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</row>
    <row r="1094" spans="3:14" x14ac:dyDescent="0.35"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</row>
    <row r="1095" spans="3:14" x14ac:dyDescent="0.35"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</row>
    <row r="1096" spans="3:14" x14ac:dyDescent="0.35"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</row>
    <row r="1097" spans="3:14" x14ac:dyDescent="0.35"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</row>
    <row r="1098" spans="3:14" x14ac:dyDescent="0.35"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</row>
    <row r="1099" spans="3:14" x14ac:dyDescent="0.35"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</row>
    <row r="1100" spans="3:14" x14ac:dyDescent="0.35"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</row>
    <row r="1101" spans="3:14" x14ac:dyDescent="0.35"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</row>
    <row r="1102" spans="3:14" x14ac:dyDescent="0.35"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</row>
    <row r="1103" spans="3:14" x14ac:dyDescent="0.35"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</row>
    <row r="1104" spans="3:14" x14ac:dyDescent="0.35"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</row>
    <row r="1105" spans="3:14" x14ac:dyDescent="0.35"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</row>
    <row r="1106" spans="3:14" x14ac:dyDescent="0.35"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</row>
    <row r="1107" spans="3:14" x14ac:dyDescent="0.35"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</row>
    <row r="1108" spans="3:14" x14ac:dyDescent="0.35"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</row>
    <row r="1109" spans="3:14" x14ac:dyDescent="0.35"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</row>
    <row r="1110" spans="3:14" x14ac:dyDescent="0.35"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</row>
    <row r="1111" spans="3:14" x14ac:dyDescent="0.35"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</row>
    <row r="1112" spans="3:14" x14ac:dyDescent="0.35"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</row>
    <row r="1113" spans="3:14" x14ac:dyDescent="0.35"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</row>
    <row r="1114" spans="3:14" x14ac:dyDescent="0.35"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</row>
    <row r="1115" spans="3:14" x14ac:dyDescent="0.35"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</row>
    <row r="1116" spans="3:14" x14ac:dyDescent="0.35"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</row>
    <row r="1117" spans="3:14" x14ac:dyDescent="0.35"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</row>
    <row r="1118" spans="3:14" x14ac:dyDescent="0.35"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</row>
    <row r="1119" spans="3:14" x14ac:dyDescent="0.35"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</row>
    <row r="1120" spans="3:14" x14ac:dyDescent="0.35"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</row>
    <row r="1121" spans="3:14" x14ac:dyDescent="0.35"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</row>
    <row r="1122" spans="3:14" x14ac:dyDescent="0.35"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</row>
    <row r="1123" spans="3:14" x14ac:dyDescent="0.35"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</row>
    <row r="1124" spans="3:14" x14ac:dyDescent="0.35"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</row>
    <row r="1125" spans="3:14" x14ac:dyDescent="0.35"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</row>
    <row r="1126" spans="3:14" x14ac:dyDescent="0.35"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</row>
    <row r="1127" spans="3:14" x14ac:dyDescent="0.35"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</row>
    <row r="1128" spans="3:14" x14ac:dyDescent="0.35"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</row>
    <row r="1129" spans="3:14" x14ac:dyDescent="0.35"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</row>
    <row r="1130" spans="3:14" x14ac:dyDescent="0.35"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</row>
    <row r="1131" spans="3:14" x14ac:dyDescent="0.35"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</row>
    <row r="1132" spans="3:14" x14ac:dyDescent="0.35"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</row>
    <row r="1133" spans="3:14" x14ac:dyDescent="0.35"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</row>
    <row r="1134" spans="3:14" x14ac:dyDescent="0.35"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</row>
    <row r="1135" spans="3:14" x14ac:dyDescent="0.35"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</row>
    <row r="1136" spans="3:14" x14ac:dyDescent="0.35"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</row>
    <row r="1137" spans="3:14" x14ac:dyDescent="0.35"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</row>
    <row r="1138" spans="3:14" x14ac:dyDescent="0.35"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</row>
    <row r="1139" spans="3:14" x14ac:dyDescent="0.35"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</row>
    <row r="1140" spans="3:14" x14ac:dyDescent="0.35"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</row>
    <row r="1141" spans="3:14" x14ac:dyDescent="0.35"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</row>
    <row r="1142" spans="3:14" x14ac:dyDescent="0.35"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</row>
    <row r="1143" spans="3:14" x14ac:dyDescent="0.35"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</row>
    <row r="1144" spans="3:14" x14ac:dyDescent="0.35"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</row>
    <row r="1145" spans="3:14" x14ac:dyDescent="0.35"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</row>
    <row r="1146" spans="3:14" x14ac:dyDescent="0.35"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</row>
    <row r="1147" spans="3:14" x14ac:dyDescent="0.35"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</row>
    <row r="1148" spans="3:14" x14ac:dyDescent="0.35"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</row>
    <row r="1149" spans="3:14" x14ac:dyDescent="0.35"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</row>
    <row r="1150" spans="3:14" x14ac:dyDescent="0.35"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</row>
    <row r="1151" spans="3:14" x14ac:dyDescent="0.35"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</row>
    <row r="1152" spans="3:14" x14ac:dyDescent="0.35"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</row>
    <row r="1153" spans="3:14" x14ac:dyDescent="0.35"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</row>
    <row r="1154" spans="3:14" x14ac:dyDescent="0.35"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</row>
    <row r="1155" spans="3:14" x14ac:dyDescent="0.35"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</row>
    <row r="1156" spans="3:14" x14ac:dyDescent="0.35"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</row>
    <row r="1157" spans="3:14" x14ac:dyDescent="0.35"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</row>
    <row r="1158" spans="3:14" x14ac:dyDescent="0.35"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</row>
    <row r="1159" spans="3:14" x14ac:dyDescent="0.35"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</row>
    <row r="1160" spans="3:14" x14ac:dyDescent="0.35"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</row>
    <row r="1161" spans="3:14" x14ac:dyDescent="0.35"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</row>
    <row r="1162" spans="3:14" x14ac:dyDescent="0.35"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</row>
    <row r="1163" spans="3:14" x14ac:dyDescent="0.35"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</row>
    <row r="1164" spans="3:14" x14ac:dyDescent="0.35"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</row>
    <row r="1165" spans="3:14" x14ac:dyDescent="0.35"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</row>
    <row r="1166" spans="3:14" x14ac:dyDescent="0.35"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</row>
    <row r="1167" spans="3:14" x14ac:dyDescent="0.35"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</row>
    <row r="1168" spans="3:14" x14ac:dyDescent="0.35"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</row>
    <row r="1169" spans="3:14" x14ac:dyDescent="0.35"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</row>
    <row r="1170" spans="3:14" x14ac:dyDescent="0.35"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</row>
    <row r="1171" spans="3:14" x14ac:dyDescent="0.35"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</row>
    <row r="1172" spans="3:14" x14ac:dyDescent="0.35"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</row>
    <row r="1173" spans="3:14" x14ac:dyDescent="0.35"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</row>
    <row r="1174" spans="3:14" x14ac:dyDescent="0.35"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</row>
    <row r="1175" spans="3:14" x14ac:dyDescent="0.35"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</row>
    <row r="1176" spans="3:14" x14ac:dyDescent="0.35"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</row>
    <row r="1177" spans="3:14" x14ac:dyDescent="0.35"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</row>
    <row r="1178" spans="3:14" x14ac:dyDescent="0.35"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</row>
    <row r="1179" spans="3:14" x14ac:dyDescent="0.35"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</row>
    <row r="1180" spans="3:14" x14ac:dyDescent="0.35"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</row>
    <row r="1181" spans="3:14" x14ac:dyDescent="0.35"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</row>
    <row r="1182" spans="3:14" x14ac:dyDescent="0.35"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</row>
    <row r="1183" spans="3:14" x14ac:dyDescent="0.35"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</row>
    <row r="1184" spans="3:14" x14ac:dyDescent="0.35"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</row>
    <row r="1185" spans="3:14" x14ac:dyDescent="0.35"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</row>
    <row r="1186" spans="3:14" x14ac:dyDescent="0.35"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</row>
    <row r="1187" spans="3:14" x14ac:dyDescent="0.35"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</row>
    <row r="1188" spans="3:14" x14ac:dyDescent="0.35"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</row>
    <row r="1189" spans="3:14" x14ac:dyDescent="0.35"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</row>
    <row r="1190" spans="3:14" x14ac:dyDescent="0.35"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</row>
    <row r="1191" spans="3:14" x14ac:dyDescent="0.35"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</row>
    <row r="1192" spans="3:14" x14ac:dyDescent="0.35"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</row>
    <row r="1193" spans="3:14" x14ac:dyDescent="0.35"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</row>
    <row r="1194" spans="3:14" x14ac:dyDescent="0.35"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</row>
    <row r="1195" spans="3:14" x14ac:dyDescent="0.35"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</row>
    <row r="1196" spans="3:14" x14ac:dyDescent="0.35"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</row>
    <row r="1197" spans="3:14" x14ac:dyDescent="0.35"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</row>
    <row r="1198" spans="3:14" x14ac:dyDescent="0.35"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</row>
    <row r="1199" spans="3:14" x14ac:dyDescent="0.35"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</row>
    <row r="1200" spans="3:14" x14ac:dyDescent="0.35"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</row>
    <row r="1201" spans="3:14" x14ac:dyDescent="0.35"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</row>
    <row r="1202" spans="3:14" x14ac:dyDescent="0.35"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</row>
    <row r="1203" spans="3:14" x14ac:dyDescent="0.35"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</row>
    <row r="1204" spans="3:14" x14ac:dyDescent="0.35"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</row>
    <row r="1205" spans="3:14" x14ac:dyDescent="0.35"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</row>
    <row r="1206" spans="3:14" x14ac:dyDescent="0.35"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</row>
    <row r="1207" spans="3:14" x14ac:dyDescent="0.35"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</row>
    <row r="1208" spans="3:14" x14ac:dyDescent="0.35"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</row>
    <row r="1209" spans="3:14" x14ac:dyDescent="0.35"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</row>
    <row r="1210" spans="3:14" x14ac:dyDescent="0.35"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</row>
    <row r="1211" spans="3:14" x14ac:dyDescent="0.35"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</row>
    <row r="1212" spans="3:14" x14ac:dyDescent="0.35"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</row>
    <row r="1213" spans="3:14" x14ac:dyDescent="0.35"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</row>
    <row r="1214" spans="3:14" x14ac:dyDescent="0.35"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</row>
    <row r="1215" spans="3:14" x14ac:dyDescent="0.35"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</row>
    <row r="1216" spans="3:14" x14ac:dyDescent="0.35"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</row>
    <row r="1217" spans="3:14" x14ac:dyDescent="0.35"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</row>
    <row r="1218" spans="3:14" x14ac:dyDescent="0.35"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</row>
    <row r="1219" spans="3:14" x14ac:dyDescent="0.35"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</row>
    <row r="1220" spans="3:14" x14ac:dyDescent="0.35"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</row>
    <row r="1221" spans="3:14" x14ac:dyDescent="0.35"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</row>
    <row r="1222" spans="3:14" x14ac:dyDescent="0.35"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</row>
    <row r="1223" spans="3:14" x14ac:dyDescent="0.35"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</row>
    <row r="1224" spans="3:14" x14ac:dyDescent="0.35"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</row>
    <row r="1225" spans="3:14" x14ac:dyDescent="0.35"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</row>
    <row r="1226" spans="3:14" x14ac:dyDescent="0.35"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</row>
    <row r="1227" spans="3:14" x14ac:dyDescent="0.35"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</row>
    <row r="1228" spans="3:14" x14ac:dyDescent="0.35"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</row>
    <row r="1229" spans="3:14" x14ac:dyDescent="0.35"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</row>
    <row r="1230" spans="3:14" x14ac:dyDescent="0.35"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</row>
    <row r="1231" spans="3:14" x14ac:dyDescent="0.35"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</row>
    <row r="1232" spans="3:14" x14ac:dyDescent="0.35"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</row>
    <row r="1233" spans="3:14" x14ac:dyDescent="0.35"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</row>
    <row r="1234" spans="3:14" x14ac:dyDescent="0.35"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</row>
    <row r="1235" spans="3:14" x14ac:dyDescent="0.35"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</row>
    <row r="1236" spans="3:14" x14ac:dyDescent="0.35"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</row>
    <row r="1237" spans="3:14" x14ac:dyDescent="0.35"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</row>
    <row r="1238" spans="3:14" x14ac:dyDescent="0.35"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</row>
    <row r="1239" spans="3:14" x14ac:dyDescent="0.35"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</row>
    <row r="1240" spans="3:14" x14ac:dyDescent="0.35"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</row>
    <row r="1241" spans="3:14" x14ac:dyDescent="0.35"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</row>
    <row r="1242" spans="3:14" x14ac:dyDescent="0.35"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</row>
    <row r="1243" spans="3:14" x14ac:dyDescent="0.35"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</row>
    <row r="1244" spans="3:14" x14ac:dyDescent="0.35"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</row>
    <row r="1245" spans="3:14" x14ac:dyDescent="0.35"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</row>
    <row r="1246" spans="3:14" x14ac:dyDescent="0.35"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</row>
    <row r="1247" spans="3:14" x14ac:dyDescent="0.35"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</row>
    <row r="1248" spans="3:14" x14ac:dyDescent="0.35"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</row>
    <row r="1249" spans="3:14" x14ac:dyDescent="0.35"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</row>
    <row r="1250" spans="3:14" x14ac:dyDescent="0.35"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</row>
    <row r="1251" spans="3:14" x14ac:dyDescent="0.35"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</row>
    <row r="1252" spans="3:14" x14ac:dyDescent="0.35"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</row>
    <row r="1253" spans="3:14" x14ac:dyDescent="0.35"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</row>
    <row r="1254" spans="3:14" x14ac:dyDescent="0.35"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</row>
    <row r="1255" spans="3:14" x14ac:dyDescent="0.35"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</row>
    <row r="1256" spans="3:14" x14ac:dyDescent="0.35"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</row>
    <row r="1257" spans="3:14" x14ac:dyDescent="0.35"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</row>
    <row r="1258" spans="3:14" x14ac:dyDescent="0.35"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</row>
    <row r="1259" spans="3:14" x14ac:dyDescent="0.35"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</row>
    <row r="1260" spans="3:14" x14ac:dyDescent="0.35"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</row>
    <row r="1261" spans="3:14" x14ac:dyDescent="0.35"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</row>
    <row r="1262" spans="3:14" x14ac:dyDescent="0.35"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</row>
    <row r="1263" spans="3:14" x14ac:dyDescent="0.35"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</row>
    <row r="1264" spans="3:14" x14ac:dyDescent="0.35"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</row>
    <row r="1265" spans="3:14" x14ac:dyDescent="0.35"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</row>
    <row r="1266" spans="3:14" x14ac:dyDescent="0.35"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</row>
    <row r="1267" spans="3:14" x14ac:dyDescent="0.35"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</row>
    <row r="1268" spans="3:14" x14ac:dyDescent="0.35"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</row>
    <row r="1269" spans="3:14" x14ac:dyDescent="0.35"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</row>
    <row r="1270" spans="3:14" x14ac:dyDescent="0.35"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</row>
    <row r="1271" spans="3:14" x14ac:dyDescent="0.35"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</row>
    <row r="1272" spans="3:14" x14ac:dyDescent="0.35"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</row>
    <row r="1273" spans="3:14" x14ac:dyDescent="0.35"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</row>
    <row r="1274" spans="3:14" x14ac:dyDescent="0.35"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</row>
    <row r="1275" spans="3:14" x14ac:dyDescent="0.35"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</row>
    <row r="1276" spans="3:14" x14ac:dyDescent="0.35"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</row>
    <row r="1277" spans="3:14" x14ac:dyDescent="0.35"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</row>
    <row r="1278" spans="3:14" x14ac:dyDescent="0.35"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</row>
    <row r="1279" spans="3:14" x14ac:dyDescent="0.35"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</row>
    <row r="1280" spans="3:14" x14ac:dyDescent="0.35"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</row>
    <row r="1281" spans="3:14" x14ac:dyDescent="0.35"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</row>
    <row r="1282" spans="3:14" x14ac:dyDescent="0.35"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</row>
    <row r="1283" spans="3:14" x14ac:dyDescent="0.35"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</row>
    <row r="1284" spans="3:14" x14ac:dyDescent="0.35"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</row>
    <row r="1285" spans="3:14" x14ac:dyDescent="0.35"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</row>
    <row r="1286" spans="3:14" x14ac:dyDescent="0.35"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</row>
    <row r="1287" spans="3:14" x14ac:dyDescent="0.35"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</row>
    <row r="1288" spans="3:14" x14ac:dyDescent="0.35"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</row>
    <row r="1289" spans="3:14" x14ac:dyDescent="0.35"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</row>
    <row r="1290" spans="3:14" x14ac:dyDescent="0.35"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</row>
    <row r="1291" spans="3:14" x14ac:dyDescent="0.35"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</row>
    <row r="1292" spans="3:14" x14ac:dyDescent="0.35"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</row>
    <row r="1293" spans="3:14" x14ac:dyDescent="0.35"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</row>
    <row r="1294" spans="3:14" x14ac:dyDescent="0.35"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</row>
    <row r="1295" spans="3:14" x14ac:dyDescent="0.35"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</row>
    <row r="1296" spans="3:14" x14ac:dyDescent="0.35"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</row>
    <row r="1297" spans="3:14" x14ac:dyDescent="0.35"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</row>
    <row r="1298" spans="3:14" x14ac:dyDescent="0.35"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</row>
    <row r="1299" spans="3:14" x14ac:dyDescent="0.35"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</row>
    <row r="1300" spans="3:14" x14ac:dyDescent="0.35"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</row>
    <row r="1301" spans="3:14" x14ac:dyDescent="0.35"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</row>
    <row r="1302" spans="3:14" x14ac:dyDescent="0.35"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</row>
    <row r="1303" spans="3:14" x14ac:dyDescent="0.35"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</row>
    <row r="1304" spans="3:14" x14ac:dyDescent="0.35"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</row>
    <row r="1305" spans="3:14" x14ac:dyDescent="0.35"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</row>
    <row r="1306" spans="3:14" x14ac:dyDescent="0.35"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</row>
    <row r="1307" spans="3:14" x14ac:dyDescent="0.35"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</row>
    <row r="1308" spans="3:14" x14ac:dyDescent="0.35"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</row>
    <row r="1309" spans="3:14" x14ac:dyDescent="0.35"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</row>
    <row r="1310" spans="3:14" x14ac:dyDescent="0.35"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</row>
    <row r="1311" spans="3:14" x14ac:dyDescent="0.35"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</row>
    <row r="1312" spans="3:14" x14ac:dyDescent="0.35"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</row>
    <row r="1313" spans="3:14" x14ac:dyDescent="0.35"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</row>
    <row r="1314" spans="3:14" x14ac:dyDescent="0.35"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</row>
    <row r="1315" spans="3:14" x14ac:dyDescent="0.35"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</row>
    <row r="1316" spans="3:14" x14ac:dyDescent="0.35"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</row>
    <row r="1317" spans="3:14" x14ac:dyDescent="0.35"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</row>
    <row r="1318" spans="3:14" x14ac:dyDescent="0.35"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</row>
    <row r="1319" spans="3:14" x14ac:dyDescent="0.35"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</row>
    <row r="1320" spans="3:14" x14ac:dyDescent="0.35"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</row>
    <row r="1321" spans="3:14" x14ac:dyDescent="0.35"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</row>
    <row r="1322" spans="3:14" x14ac:dyDescent="0.35"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</row>
    <row r="1323" spans="3:14" x14ac:dyDescent="0.35"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</row>
    <row r="1324" spans="3:14" x14ac:dyDescent="0.35"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</row>
    <row r="1325" spans="3:14" x14ac:dyDescent="0.35"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</row>
    <row r="1326" spans="3:14" x14ac:dyDescent="0.35"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</row>
    <row r="1327" spans="3:14" x14ac:dyDescent="0.35"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</row>
    <row r="1328" spans="3:14" x14ac:dyDescent="0.35"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</row>
    <row r="1329" spans="3:14" x14ac:dyDescent="0.35"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</row>
    <row r="1330" spans="3:14" x14ac:dyDescent="0.35"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</row>
    <row r="1331" spans="3:14" x14ac:dyDescent="0.35"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</row>
    <row r="1332" spans="3:14" x14ac:dyDescent="0.35"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</row>
    <row r="1333" spans="3:14" x14ac:dyDescent="0.35"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</row>
    <row r="1334" spans="3:14" x14ac:dyDescent="0.35"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</row>
    <row r="1335" spans="3:14" x14ac:dyDescent="0.35"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</row>
    <row r="1336" spans="3:14" x14ac:dyDescent="0.35"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</row>
    <row r="1337" spans="3:14" x14ac:dyDescent="0.35"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</row>
    <row r="1338" spans="3:14" x14ac:dyDescent="0.35"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</row>
    <row r="1339" spans="3:14" x14ac:dyDescent="0.35"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</row>
    <row r="1340" spans="3:14" x14ac:dyDescent="0.35"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</row>
    <row r="1341" spans="3:14" x14ac:dyDescent="0.35"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</row>
    <row r="1342" spans="3:14" x14ac:dyDescent="0.35"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</row>
    <row r="1343" spans="3:14" x14ac:dyDescent="0.35"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</row>
    <row r="1344" spans="3:14" x14ac:dyDescent="0.35"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</row>
    <row r="1345" spans="3:14" x14ac:dyDescent="0.35"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</row>
    <row r="1346" spans="3:14" x14ac:dyDescent="0.35"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</row>
    <row r="1347" spans="3:14" x14ac:dyDescent="0.35"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</row>
    <row r="1348" spans="3:14" x14ac:dyDescent="0.35"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</row>
    <row r="1349" spans="3:14" x14ac:dyDescent="0.35"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</row>
    <row r="1350" spans="3:14" x14ac:dyDescent="0.35"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</row>
    <row r="1351" spans="3:14" x14ac:dyDescent="0.35"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</row>
    <row r="1352" spans="3:14" x14ac:dyDescent="0.35"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</row>
    <row r="1353" spans="3:14" x14ac:dyDescent="0.35"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</row>
    <row r="1354" spans="3:14" x14ac:dyDescent="0.35"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</row>
    <row r="1355" spans="3:14" x14ac:dyDescent="0.35"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</row>
    <row r="1356" spans="3:14" x14ac:dyDescent="0.35"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</row>
    <row r="1357" spans="3:14" x14ac:dyDescent="0.35"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</row>
    <row r="1358" spans="3:14" x14ac:dyDescent="0.35"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</row>
    <row r="1359" spans="3:14" x14ac:dyDescent="0.35"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</row>
    <row r="1360" spans="3:14" x14ac:dyDescent="0.35"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</row>
    <row r="1361" spans="3:14" x14ac:dyDescent="0.35"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</row>
    <row r="1362" spans="3:14" x14ac:dyDescent="0.35"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</row>
    <row r="1363" spans="3:14" x14ac:dyDescent="0.35"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</row>
    <row r="1364" spans="3:14" x14ac:dyDescent="0.35"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</row>
    <row r="1365" spans="3:14" x14ac:dyDescent="0.35"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</row>
    <row r="1366" spans="3:14" x14ac:dyDescent="0.35"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</row>
    <row r="1367" spans="3:14" x14ac:dyDescent="0.35"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</row>
    <row r="1368" spans="3:14" x14ac:dyDescent="0.35"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</row>
    <row r="1369" spans="3:14" x14ac:dyDescent="0.35"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</row>
    <row r="1370" spans="3:14" x14ac:dyDescent="0.35"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</row>
    <row r="1371" spans="3:14" x14ac:dyDescent="0.35"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</row>
    <row r="1372" spans="3:14" x14ac:dyDescent="0.35"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</row>
    <row r="1373" spans="3:14" x14ac:dyDescent="0.35"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</row>
    <row r="1374" spans="3:14" x14ac:dyDescent="0.35"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</row>
    <row r="1375" spans="3:14" x14ac:dyDescent="0.35"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</row>
    <row r="1376" spans="3:14" x14ac:dyDescent="0.35"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</row>
    <row r="1377" spans="3:14" x14ac:dyDescent="0.35"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</row>
    <row r="1378" spans="3:14" x14ac:dyDescent="0.35"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</row>
    <row r="1379" spans="3:14" x14ac:dyDescent="0.35"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</row>
    <row r="1380" spans="3:14" x14ac:dyDescent="0.35"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</row>
    <row r="1381" spans="3:14" x14ac:dyDescent="0.35"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</row>
    <row r="1382" spans="3:14" x14ac:dyDescent="0.35"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</row>
    <row r="1383" spans="3:14" x14ac:dyDescent="0.35"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</row>
    <row r="1384" spans="3:14" x14ac:dyDescent="0.35"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</row>
    <row r="1385" spans="3:14" x14ac:dyDescent="0.35"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</row>
    <row r="1386" spans="3:14" x14ac:dyDescent="0.35"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</row>
    <row r="1387" spans="3:14" x14ac:dyDescent="0.35"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</row>
    <row r="1388" spans="3:14" x14ac:dyDescent="0.35"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</row>
    <row r="1389" spans="3:14" x14ac:dyDescent="0.35"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</row>
    <row r="1390" spans="3:14" x14ac:dyDescent="0.35"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</row>
    <row r="1391" spans="3:14" x14ac:dyDescent="0.35"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</row>
    <row r="1392" spans="3:14" x14ac:dyDescent="0.35"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</row>
    <row r="1393" spans="3:14" x14ac:dyDescent="0.35"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</row>
    <row r="1394" spans="3:14" x14ac:dyDescent="0.35"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</row>
    <row r="1395" spans="3:14" x14ac:dyDescent="0.35"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</row>
    <row r="1396" spans="3:14" x14ac:dyDescent="0.35"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</row>
    <row r="1397" spans="3:14" x14ac:dyDescent="0.35"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</row>
    <row r="1398" spans="3:14" x14ac:dyDescent="0.35"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</row>
    <row r="1399" spans="3:14" x14ac:dyDescent="0.35"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</row>
    <row r="1400" spans="3:14" x14ac:dyDescent="0.35"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</row>
    <row r="1401" spans="3:14" x14ac:dyDescent="0.35"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</row>
    <row r="1402" spans="3:14" x14ac:dyDescent="0.35"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</row>
    <row r="1403" spans="3:14" x14ac:dyDescent="0.35"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</row>
    <row r="1404" spans="3:14" x14ac:dyDescent="0.35"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</row>
    <row r="1405" spans="3:14" x14ac:dyDescent="0.35"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</row>
    <row r="1406" spans="3:14" x14ac:dyDescent="0.35"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</row>
    <row r="1407" spans="3:14" x14ac:dyDescent="0.35"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</row>
    <row r="1408" spans="3:14" x14ac:dyDescent="0.35"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</row>
    <row r="1409" spans="3:14" x14ac:dyDescent="0.35"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</row>
    <row r="1410" spans="3:14" x14ac:dyDescent="0.35"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</row>
    <row r="1411" spans="3:14" x14ac:dyDescent="0.35"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</row>
    <row r="1412" spans="3:14" x14ac:dyDescent="0.35"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</row>
    <row r="1413" spans="3:14" x14ac:dyDescent="0.35"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</row>
    <row r="1414" spans="3:14" x14ac:dyDescent="0.35"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</row>
    <row r="1415" spans="3:14" x14ac:dyDescent="0.35"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</row>
    <row r="1416" spans="3:14" x14ac:dyDescent="0.35"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</row>
    <row r="1417" spans="3:14" x14ac:dyDescent="0.35"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</row>
    <row r="1418" spans="3:14" x14ac:dyDescent="0.35"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</row>
    <row r="1419" spans="3:14" x14ac:dyDescent="0.35"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</row>
    <row r="1420" spans="3:14" x14ac:dyDescent="0.35"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</row>
    <row r="1421" spans="3:14" x14ac:dyDescent="0.35"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</row>
    <row r="1422" spans="3:14" x14ac:dyDescent="0.35"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</row>
    <row r="1423" spans="3:14" x14ac:dyDescent="0.35"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</row>
    <row r="1424" spans="3:14" x14ac:dyDescent="0.35"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</row>
    <row r="1425" spans="3:14" x14ac:dyDescent="0.35"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</row>
    <row r="1426" spans="3:14" x14ac:dyDescent="0.35"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</row>
    <row r="1427" spans="3:14" x14ac:dyDescent="0.35"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</row>
    <row r="1428" spans="3:14" x14ac:dyDescent="0.35"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</row>
    <row r="1429" spans="3:14" x14ac:dyDescent="0.35"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</row>
    <row r="1430" spans="3:14" x14ac:dyDescent="0.35"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</row>
    <row r="1431" spans="3:14" x14ac:dyDescent="0.35"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</row>
    <row r="1432" spans="3:14" x14ac:dyDescent="0.35"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</row>
    <row r="1433" spans="3:14" x14ac:dyDescent="0.35"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</row>
    <row r="1434" spans="3:14" x14ac:dyDescent="0.35"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</row>
    <row r="1435" spans="3:14" x14ac:dyDescent="0.35"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</row>
    <row r="1436" spans="3:14" x14ac:dyDescent="0.35"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</row>
    <row r="1437" spans="3:14" x14ac:dyDescent="0.35"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</row>
    <row r="1438" spans="3:14" x14ac:dyDescent="0.35"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</row>
    <row r="1439" spans="3:14" x14ac:dyDescent="0.35"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</row>
    <row r="1440" spans="3:14" x14ac:dyDescent="0.35"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</row>
    <row r="1441" spans="3:14" x14ac:dyDescent="0.35"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</row>
    <row r="1442" spans="3:14" x14ac:dyDescent="0.35"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</row>
    <row r="1443" spans="3:14" x14ac:dyDescent="0.35"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</row>
    <row r="1444" spans="3:14" x14ac:dyDescent="0.35"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</row>
    <row r="1445" spans="3:14" x14ac:dyDescent="0.35"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</row>
    <row r="1446" spans="3:14" x14ac:dyDescent="0.35"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</row>
    <row r="1447" spans="3:14" x14ac:dyDescent="0.35"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</row>
    <row r="1448" spans="3:14" x14ac:dyDescent="0.35"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</row>
    <row r="1449" spans="3:14" x14ac:dyDescent="0.35"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</row>
    <row r="1450" spans="3:14" x14ac:dyDescent="0.35"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</row>
    <row r="1451" spans="3:14" x14ac:dyDescent="0.35"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</row>
    <row r="1452" spans="3:14" x14ac:dyDescent="0.35"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</row>
    <row r="1453" spans="3:14" x14ac:dyDescent="0.35"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</row>
    <row r="1454" spans="3:14" x14ac:dyDescent="0.35"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</row>
    <row r="1455" spans="3:14" x14ac:dyDescent="0.35"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</row>
    <row r="1456" spans="3:14" x14ac:dyDescent="0.35"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</row>
    <row r="1457" spans="3:14" x14ac:dyDescent="0.35"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</row>
    <row r="1458" spans="3:14" x14ac:dyDescent="0.35"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</row>
    <row r="1459" spans="3:14" x14ac:dyDescent="0.35"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</row>
    <row r="1460" spans="3:14" x14ac:dyDescent="0.35"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</row>
    <row r="1461" spans="3:14" x14ac:dyDescent="0.35"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</row>
    <row r="1462" spans="3:14" x14ac:dyDescent="0.35"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</row>
    <row r="1463" spans="3:14" x14ac:dyDescent="0.35"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</row>
    <row r="1464" spans="3:14" x14ac:dyDescent="0.35"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</row>
    <row r="1465" spans="3:14" x14ac:dyDescent="0.35"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</row>
    <row r="1466" spans="3:14" x14ac:dyDescent="0.35"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</row>
    <row r="1467" spans="3:14" x14ac:dyDescent="0.35"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</row>
    <row r="1468" spans="3:14" x14ac:dyDescent="0.35"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</row>
    <row r="1469" spans="3:14" x14ac:dyDescent="0.35"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</row>
    <row r="1470" spans="3:14" x14ac:dyDescent="0.35"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</row>
    <row r="1471" spans="3:14" x14ac:dyDescent="0.35"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</row>
    <row r="1472" spans="3:14" x14ac:dyDescent="0.35"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</row>
    <row r="1473" spans="3:14" x14ac:dyDescent="0.35"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</row>
    <row r="1474" spans="3:14" x14ac:dyDescent="0.35"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</row>
    <row r="1475" spans="3:14" x14ac:dyDescent="0.35"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</row>
    <row r="1476" spans="3:14" x14ac:dyDescent="0.35"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</row>
    <row r="1477" spans="3:14" x14ac:dyDescent="0.35"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</row>
    <row r="1478" spans="3:14" x14ac:dyDescent="0.35"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</row>
    <row r="1479" spans="3:14" x14ac:dyDescent="0.35"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</row>
    <row r="1480" spans="3:14" x14ac:dyDescent="0.35"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</row>
    <row r="1481" spans="3:14" x14ac:dyDescent="0.35"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</row>
    <row r="1482" spans="3:14" x14ac:dyDescent="0.35"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</row>
    <row r="1483" spans="3:14" x14ac:dyDescent="0.35"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</row>
    <row r="1484" spans="3:14" x14ac:dyDescent="0.35"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</row>
    <row r="1485" spans="3:14" x14ac:dyDescent="0.35"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</row>
    <row r="1486" spans="3:14" x14ac:dyDescent="0.35"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</row>
    <row r="1487" spans="3:14" x14ac:dyDescent="0.35"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</row>
    <row r="1488" spans="3:14" x14ac:dyDescent="0.35"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</row>
    <row r="1489" spans="3:14" x14ac:dyDescent="0.35"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</row>
    <row r="1490" spans="3:14" x14ac:dyDescent="0.35"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</row>
    <row r="1491" spans="3:14" x14ac:dyDescent="0.35"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</row>
    <row r="1492" spans="3:14" x14ac:dyDescent="0.35"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</row>
    <row r="1493" spans="3:14" x14ac:dyDescent="0.35"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</row>
    <row r="1494" spans="3:14" x14ac:dyDescent="0.35"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</row>
    <row r="1495" spans="3:14" x14ac:dyDescent="0.35"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</row>
    <row r="1496" spans="3:14" x14ac:dyDescent="0.35"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</row>
    <row r="1497" spans="3:14" x14ac:dyDescent="0.35"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</row>
    <row r="1498" spans="3:14" x14ac:dyDescent="0.35"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</row>
    <row r="1499" spans="3:14" x14ac:dyDescent="0.35"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</row>
    <row r="1500" spans="3:14" x14ac:dyDescent="0.35"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</row>
    <row r="1501" spans="3:14" x14ac:dyDescent="0.35"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</row>
    <row r="1502" spans="3:14" x14ac:dyDescent="0.35"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</row>
    <row r="1503" spans="3:14" x14ac:dyDescent="0.35"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</row>
    <row r="1504" spans="3:14" x14ac:dyDescent="0.35"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</row>
    <row r="1505" spans="3:14" x14ac:dyDescent="0.35"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</row>
    <row r="1506" spans="3:14" x14ac:dyDescent="0.35"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</row>
    <row r="1507" spans="3:14" x14ac:dyDescent="0.35"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</row>
    <row r="1508" spans="3:14" x14ac:dyDescent="0.35"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</row>
    <row r="1509" spans="3:14" x14ac:dyDescent="0.35"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</row>
    <row r="1510" spans="3:14" x14ac:dyDescent="0.35"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</row>
    <row r="1511" spans="3:14" x14ac:dyDescent="0.35"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</row>
    <row r="1512" spans="3:14" x14ac:dyDescent="0.35"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</row>
    <row r="1513" spans="3:14" x14ac:dyDescent="0.35"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</row>
    <row r="1514" spans="3:14" x14ac:dyDescent="0.35"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</row>
    <row r="1515" spans="3:14" x14ac:dyDescent="0.35"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</row>
    <row r="1516" spans="3:14" x14ac:dyDescent="0.35"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</row>
    <row r="1517" spans="3:14" x14ac:dyDescent="0.35"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</row>
    <row r="1518" spans="3:14" x14ac:dyDescent="0.35"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</row>
    <row r="1519" spans="3:14" x14ac:dyDescent="0.35"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</row>
    <row r="1520" spans="3:14" x14ac:dyDescent="0.35"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</row>
    <row r="1521" spans="3:14" x14ac:dyDescent="0.35"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</row>
    <row r="1522" spans="3:14" x14ac:dyDescent="0.35"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</row>
    <row r="1523" spans="3:14" x14ac:dyDescent="0.35"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</row>
    <row r="1524" spans="3:14" x14ac:dyDescent="0.35"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</row>
    <row r="1525" spans="3:14" x14ac:dyDescent="0.35"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</row>
    <row r="1526" spans="3:14" x14ac:dyDescent="0.35"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</row>
    <row r="1527" spans="3:14" x14ac:dyDescent="0.35"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</row>
    <row r="1528" spans="3:14" x14ac:dyDescent="0.35"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</row>
    <row r="1529" spans="3:14" x14ac:dyDescent="0.35"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</row>
    <row r="1530" spans="3:14" x14ac:dyDescent="0.35"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</row>
    <row r="1531" spans="3:14" x14ac:dyDescent="0.35"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</row>
    <row r="1532" spans="3:14" x14ac:dyDescent="0.35"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</row>
    <row r="1533" spans="3:14" x14ac:dyDescent="0.35"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</row>
    <row r="1534" spans="3:14" x14ac:dyDescent="0.35"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</row>
    <row r="1535" spans="3:14" x14ac:dyDescent="0.35"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</row>
    <row r="1536" spans="3:14" x14ac:dyDescent="0.35"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</row>
    <row r="1537" spans="3:14" x14ac:dyDescent="0.35"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</row>
    <row r="1538" spans="3:14" x14ac:dyDescent="0.35"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</row>
    <row r="1539" spans="3:14" x14ac:dyDescent="0.35"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</row>
    <row r="1540" spans="3:14" x14ac:dyDescent="0.35"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</row>
    <row r="1541" spans="3:14" x14ac:dyDescent="0.35"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</row>
    <row r="1542" spans="3:14" x14ac:dyDescent="0.35"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</row>
    <row r="1543" spans="3:14" x14ac:dyDescent="0.35"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</row>
    <row r="1544" spans="3:14" x14ac:dyDescent="0.35"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</row>
    <row r="1545" spans="3:14" x14ac:dyDescent="0.35"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</row>
    <row r="1546" spans="3:14" x14ac:dyDescent="0.35"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</row>
    <row r="1547" spans="3:14" x14ac:dyDescent="0.35"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</row>
    <row r="1548" spans="3:14" x14ac:dyDescent="0.35"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</row>
    <row r="1549" spans="3:14" x14ac:dyDescent="0.35"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</row>
    <row r="1550" spans="3:14" x14ac:dyDescent="0.35"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</row>
    <row r="1551" spans="3:14" x14ac:dyDescent="0.35"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</row>
    <row r="1552" spans="3:14" x14ac:dyDescent="0.35"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</row>
    <row r="1553" spans="3:14" x14ac:dyDescent="0.35"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</row>
    <row r="1554" spans="3:14" x14ac:dyDescent="0.35"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</row>
    <row r="1555" spans="3:14" x14ac:dyDescent="0.35"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</row>
    <row r="1556" spans="3:14" x14ac:dyDescent="0.35"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</row>
    <row r="1557" spans="3:14" x14ac:dyDescent="0.35"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</row>
    <row r="1558" spans="3:14" x14ac:dyDescent="0.35"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</row>
    <row r="1559" spans="3:14" x14ac:dyDescent="0.35"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</row>
    <row r="1560" spans="3:14" x14ac:dyDescent="0.35"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</row>
    <row r="1561" spans="3:14" x14ac:dyDescent="0.35"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</row>
    <row r="1562" spans="3:14" x14ac:dyDescent="0.35"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</row>
    <row r="1563" spans="3:14" x14ac:dyDescent="0.35"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</row>
    <row r="1564" spans="3:14" x14ac:dyDescent="0.35"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</row>
    <row r="1565" spans="3:14" x14ac:dyDescent="0.35"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</row>
    <row r="1566" spans="3:14" x14ac:dyDescent="0.35"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</row>
    <row r="1567" spans="3:14" x14ac:dyDescent="0.35"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</row>
    <row r="1568" spans="3:14" x14ac:dyDescent="0.35"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</row>
    <row r="1569" spans="3:14" x14ac:dyDescent="0.35"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</row>
    <row r="1570" spans="3:14" x14ac:dyDescent="0.35"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</row>
    <row r="1571" spans="3:14" x14ac:dyDescent="0.35"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</row>
    <row r="1572" spans="3:14" x14ac:dyDescent="0.35"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</row>
    <row r="1573" spans="3:14" x14ac:dyDescent="0.35"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</row>
    <row r="1574" spans="3:14" x14ac:dyDescent="0.35"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</row>
    <row r="1575" spans="3:14" x14ac:dyDescent="0.35"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</row>
    <row r="1576" spans="3:14" x14ac:dyDescent="0.35"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</row>
    <row r="1577" spans="3:14" x14ac:dyDescent="0.35"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</row>
    <row r="1578" spans="3:14" x14ac:dyDescent="0.35"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</row>
    <row r="1579" spans="3:14" x14ac:dyDescent="0.35"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</row>
    <row r="1580" spans="3:14" x14ac:dyDescent="0.35"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</row>
    <row r="1581" spans="3:14" x14ac:dyDescent="0.35"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</row>
    <row r="1582" spans="3:14" x14ac:dyDescent="0.35"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</row>
    <row r="1583" spans="3:14" x14ac:dyDescent="0.35"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</row>
    <row r="1584" spans="3:14" x14ac:dyDescent="0.35"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</row>
    <row r="1585" spans="3:14" x14ac:dyDescent="0.35"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</row>
    <row r="1586" spans="3:14" x14ac:dyDescent="0.35"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</row>
    <row r="1587" spans="3:14" x14ac:dyDescent="0.35"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</row>
    <row r="1588" spans="3:14" x14ac:dyDescent="0.35"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</row>
    <row r="1589" spans="3:14" x14ac:dyDescent="0.35"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</row>
    <row r="1590" spans="3:14" x14ac:dyDescent="0.35"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</row>
    <row r="1591" spans="3:14" x14ac:dyDescent="0.35"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</row>
    <row r="1592" spans="3:14" x14ac:dyDescent="0.35"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</row>
    <row r="1593" spans="3:14" x14ac:dyDescent="0.35"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</row>
    <row r="1594" spans="3:14" x14ac:dyDescent="0.35"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</row>
    <row r="1595" spans="3:14" x14ac:dyDescent="0.35"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</row>
    <row r="1596" spans="3:14" x14ac:dyDescent="0.35"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</row>
    <row r="1597" spans="3:14" x14ac:dyDescent="0.35"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</row>
    <row r="1598" spans="3:14" x14ac:dyDescent="0.35"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</row>
    <row r="1599" spans="3:14" x14ac:dyDescent="0.35"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</row>
    <row r="1600" spans="3:14" x14ac:dyDescent="0.35"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</row>
    <row r="1601" spans="3:14" x14ac:dyDescent="0.35"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</row>
    <row r="1602" spans="3:14" x14ac:dyDescent="0.35"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</row>
    <row r="1603" spans="3:14" x14ac:dyDescent="0.35"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</row>
    <row r="1604" spans="3:14" x14ac:dyDescent="0.35"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</row>
    <row r="1605" spans="3:14" x14ac:dyDescent="0.35"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</row>
    <row r="1606" spans="3:14" x14ac:dyDescent="0.35"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</row>
    <row r="1607" spans="3:14" x14ac:dyDescent="0.35"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</row>
    <row r="1608" spans="3:14" x14ac:dyDescent="0.35"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</row>
    <row r="1609" spans="3:14" x14ac:dyDescent="0.35"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</row>
    <row r="1610" spans="3:14" x14ac:dyDescent="0.35"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</row>
    <row r="1611" spans="3:14" x14ac:dyDescent="0.35"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</row>
    <row r="1612" spans="3:14" x14ac:dyDescent="0.35"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</row>
    <row r="1613" spans="3:14" x14ac:dyDescent="0.35"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</row>
    <row r="1614" spans="3:14" x14ac:dyDescent="0.35"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</row>
    <row r="1615" spans="3:14" x14ac:dyDescent="0.35"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</row>
    <row r="1616" spans="3:14" x14ac:dyDescent="0.35"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</row>
    <row r="1617" spans="3:14" x14ac:dyDescent="0.35"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</row>
    <row r="1618" spans="3:14" x14ac:dyDescent="0.35"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</row>
    <row r="1619" spans="3:14" x14ac:dyDescent="0.35"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</row>
    <row r="1620" spans="3:14" x14ac:dyDescent="0.35"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</row>
    <row r="1621" spans="3:14" x14ac:dyDescent="0.35"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</row>
    <row r="1622" spans="3:14" x14ac:dyDescent="0.35"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</row>
    <row r="1623" spans="3:14" x14ac:dyDescent="0.35"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</row>
    <row r="1624" spans="3:14" x14ac:dyDescent="0.35"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</row>
    <row r="1625" spans="3:14" x14ac:dyDescent="0.35"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</row>
    <row r="1626" spans="3:14" x14ac:dyDescent="0.35"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</row>
    <row r="1627" spans="3:14" x14ac:dyDescent="0.35"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</row>
    <row r="1628" spans="3:14" x14ac:dyDescent="0.35"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</row>
    <row r="1629" spans="3:14" x14ac:dyDescent="0.35"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</row>
    <row r="1630" spans="3:14" x14ac:dyDescent="0.35"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</row>
    <row r="1631" spans="3:14" x14ac:dyDescent="0.35"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</row>
    <row r="1632" spans="3:14" x14ac:dyDescent="0.35"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</row>
    <row r="1633" spans="3:14" x14ac:dyDescent="0.35"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</row>
    <row r="1634" spans="3:14" x14ac:dyDescent="0.35"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</row>
    <row r="1635" spans="3:14" x14ac:dyDescent="0.35"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</row>
    <row r="1636" spans="3:14" x14ac:dyDescent="0.35"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</row>
    <row r="1637" spans="3:14" x14ac:dyDescent="0.35"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</row>
    <row r="1638" spans="3:14" x14ac:dyDescent="0.35"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</row>
    <row r="1639" spans="3:14" x14ac:dyDescent="0.35"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</row>
    <row r="1640" spans="3:14" x14ac:dyDescent="0.35"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</row>
    <row r="1641" spans="3:14" x14ac:dyDescent="0.35"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</row>
    <row r="1642" spans="3:14" x14ac:dyDescent="0.35"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</row>
    <row r="1643" spans="3:14" x14ac:dyDescent="0.35"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</row>
    <row r="1644" spans="3:14" x14ac:dyDescent="0.35"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</row>
    <row r="1645" spans="3:14" x14ac:dyDescent="0.35"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</row>
    <row r="1646" spans="3:14" x14ac:dyDescent="0.35"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</row>
    <row r="1647" spans="3:14" x14ac:dyDescent="0.35"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</row>
    <row r="1648" spans="3:14" x14ac:dyDescent="0.35"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</row>
    <row r="1649" spans="3:14" x14ac:dyDescent="0.35"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</row>
    <row r="1650" spans="3:14" x14ac:dyDescent="0.35"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</row>
    <row r="1651" spans="3:14" x14ac:dyDescent="0.35"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</row>
    <row r="1652" spans="3:14" x14ac:dyDescent="0.35"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</row>
    <row r="1653" spans="3:14" x14ac:dyDescent="0.35"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</row>
    <row r="1654" spans="3:14" x14ac:dyDescent="0.35"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</row>
    <row r="1655" spans="3:14" x14ac:dyDescent="0.35"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</row>
    <row r="1656" spans="3:14" x14ac:dyDescent="0.35"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</row>
    <row r="1657" spans="3:14" x14ac:dyDescent="0.35"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</row>
    <row r="1658" spans="3:14" x14ac:dyDescent="0.35"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</row>
    <row r="1659" spans="3:14" x14ac:dyDescent="0.35"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</row>
    <row r="1660" spans="3:14" x14ac:dyDescent="0.35"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</row>
    <row r="1661" spans="3:14" x14ac:dyDescent="0.35"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</row>
    <row r="1662" spans="3:14" x14ac:dyDescent="0.35"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</row>
    <row r="1663" spans="3:14" x14ac:dyDescent="0.35"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</row>
    <row r="1664" spans="3:14" x14ac:dyDescent="0.35"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</row>
    <row r="1665" spans="3:14" x14ac:dyDescent="0.35"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</row>
    <row r="1666" spans="3:14" x14ac:dyDescent="0.35"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</row>
    <row r="1667" spans="3:14" x14ac:dyDescent="0.35"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</row>
    <row r="1668" spans="3:14" x14ac:dyDescent="0.35"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</row>
    <row r="1669" spans="3:14" x14ac:dyDescent="0.35"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</row>
    <row r="1670" spans="3:14" x14ac:dyDescent="0.35"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</row>
    <row r="1671" spans="3:14" x14ac:dyDescent="0.35"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</row>
    <row r="1672" spans="3:14" x14ac:dyDescent="0.35"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</row>
    <row r="1673" spans="3:14" x14ac:dyDescent="0.35"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</row>
    <row r="1674" spans="3:14" x14ac:dyDescent="0.35"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</row>
    <row r="1675" spans="3:14" x14ac:dyDescent="0.35"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</row>
    <row r="1676" spans="3:14" x14ac:dyDescent="0.35"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</row>
    <row r="1677" spans="3:14" x14ac:dyDescent="0.35"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</row>
    <row r="1678" spans="3:14" x14ac:dyDescent="0.35"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</row>
    <row r="1679" spans="3:14" x14ac:dyDescent="0.35"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</row>
    <row r="1680" spans="3:14" x14ac:dyDescent="0.35"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</row>
    <row r="1681" spans="3:14" x14ac:dyDescent="0.35"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</row>
    <row r="1682" spans="3:14" x14ac:dyDescent="0.35"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</row>
    <row r="1683" spans="3:14" x14ac:dyDescent="0.35"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</row>
    <row r="1684" spans="3:14" x14ac:dyDescent="0.35"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</row>
    <row r="1685" spans="3:14" x14ac:dyDescent="0.35"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</row>
    <row r="1686" spans="3:14" x14ac:dyDescent="0.35"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</row>
    <row r="1687" spans="3:14" x14ac:dyDescent="0.35"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</row>
    <row r="1688" spans="3:14" x14ac:dyDescent="0.35"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</row>
    <row r="1689" spans="3:14" x14ac:dyDescent="0.35"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</row>
    <row r="1690" spans="3:14" x14ac:dyDescent="0.35"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</row>
    <row r="1691" spans="3:14" x14ac:dyDescent="0.35"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</row>
    <row r="1692" spans="3:14" x14ac:dyDescent="0.35"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</row>
    <row r="1693" spans="3:14" x14ac:dyDescent="0.35"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</row>
    <row r="1694" spans="3:14" x14ac:dyDescent="0.35"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</row>
    <row r="1695" spans="3:14" x14ac:dyDescent="0.35"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</row>
    <row r="1696" spans="3:14" x14ac:dyDescent="0.35"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</row>
    <row r="1697" spans="3:14" x14ac:dyDescent="0.35"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</row>
    <row r="1698" spans="3:14" x14ac:dyDescent="0.35"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</row>
    <row r="1699" spans="3:14" x14ac:dyDescent="0.35"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</row>
    <row r="1700" spans="3:14" x14ac:dyDescent="0.35"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</row>
    <row r="1701" spans="3:14" x14ac:dyDescent="0.35"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</row>
    <row r="1702" spans="3:14" x14ac:dyDescent="0.35"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</row>
    <row r="1703" spans="3:14" x14ac:dyDescent="0.35"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</row>
    <row r="1704" spans="3:14" x14ac:dyDescent="0.35"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</row>
    <row r="1705" spans="3:14" x14ac:dyDescent="0.35"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</row>
    <row r="1706" spans="3:14" x14ac:dyDescent="0.35"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</row>
    <row r="1707" spans="3:14" x14ac:dyDescent="0.35"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</row>
    <row r="1708" spans="3:14" x14ac:dyDescent="0.35"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</row>
    <row r="1709" spans="3:14" x14ac:dyDescent="0.35"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</row>
    <row r="1710" spans="3:14" x14ac:dyDescent="0.35"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</row>
    <row r="1711" spans="3:14" x14ac:dyDescent="0.35"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</row>
    <row r="1712" spans="3:14" x14ac:dyDescent="0.35"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</row>
    <row r="1713" spans="3:14" x14ac:dyDescent="0.35"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</row>
    <row r="1714" spans="3:14" x14ac:dyDescent="0.35"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</row>
    <row r="1715" spans="3:14" x14ac:dyDescent="0.35"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</row>
    <row r="1716" spans="3:14" x14ac:dyDescent="0.35"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</row>
    <row r="1717" spans="3:14" x14ac:dyDescent="0.35"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</row>
    <row r="1718" spans="3:14" x14ac:dyDescent="0.35"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</row>
    <row r="1719" spans="3:14" x14ac:dyDescent="0.35"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</row>
    <row r="1720" spans="3:14" x14ac:dyDescent="0.35"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</row>
    <row r="1721" spans="3:14" x14ac:dyDescent="0.35"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</row>
    <row r="1722" spans="3:14" x14ac:dyDescent="0.35"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</row>
    <row r="1723" spans="3:14" x14ac:dyDescent="0.35"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</row>
    <row r="1724" spans="3:14" x14ac:dyDescent="0.35"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</row>
    <row r="1725" spans="3:14" x14ac:dyDescent="0.35"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</row>
    <row r="1726" spans="3:14" x14ac:dyDescent="0.35"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</row>
    <row r="1727" spans="3:14" x14ac:dyDescent="0.35"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</row>
    <row r="1728" spans="3:14" x14ac:dyDescent="0.35"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</row>
    <row r="1729" spans="3:14" x14ac:dyDescent="0.35"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</row>
    <row r="1730" spans="3:14" x14ac:dyDescent="0.35"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</row>
    <row r="1731" spans="3:14" x14ac:dyDescent="0.35"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</row>
    <row r="1732" spans="3:14" x14ac:dyDescent="0.35"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</row>
    <row r="1733" spans="3:14" x14ac:dyDescent="0.35"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</row>
    <row r="1734" spans="3:14" x14ac:dyDescent="0.35"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</row>
    <row r="1735" spans="3:14" x14ac:dyDescent="0.35"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</row>
    <row r="1736" spans="3:14" x14ac:dyDescent="0.35"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</row>
    <row r="1737" spans="3:14" x14ac:dyDescent="0.35"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</row>
    <row r="1738" spans="3:14" x14ac:dyDescent="0.35"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</row>
    <row r="1739" spans="3:14" x14ac:dyDescent="0.35"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</row>
    <row r="1740" spans="3:14" x14ac:dyDescent="0.35"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</row>
    <row r="1741" spans="3:14" x14ac:dyDescent="0.35"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</row>
    <row r="1742" spans="3:14" x14ac:dyDescent="0.35"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</row>
    <row r="1743" spans="3:14" x14ac:dyDescent="0.35"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</row>
    <row r="1744" spans="3:14" x14ac:dyDescent="0.35"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</row>
    <row r="1745" spans="3:14" x14ac:dyDescent="0.35"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</row>
    <row r="1746" spans="3:14" x14ac:dyDescent="0.35"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</row>
    <row r="1747" spans="3:14" x14ac:dyDescent="0.35"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</row>
    <row r="1748" spans="3:14" x14ac:dyDescent="0.35"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</row>
    <row r="1749" spans="3:14" x14ac:dyDescent="0.35"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</row>
    <row r="1750" spans="3:14" x14ac:dyDescent="0.35"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</row>
    <row r="1751" spans="3:14" x14ac:dyDescent="0.35"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</row>
    <row r="1752" spans="3:14" x14ac:dyDescent="0.35"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</row>
    <row r="1753" spans="3:14" x14ac:dyDescent="0.35"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</row>
    <row r="1754" spans="3:14" x14ac:dyDescent="0.35"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</row>
    <row r="1755" spans="3:14" x14ac:dyDescent="0.35"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</row>
    <row r="1756" spans="3:14" x14ac:dyDescent="0.35"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</row>
    <row r="1757" spans="3:14" x14ac:dyDescent="0.35"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</row>
    <row r="1758" spans="3:14" x14ac:dyDescent="0.35"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</row>
    <row r="1759" spans="3:14" x14ac:dyDescent="0.35"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</row>
    <row r="1760" spans="3:14" x14ac:dyDescent="0.35"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</row>
    <row r="1761" spans="3:14" x14ac:dyDescent="0.35"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</row>
    <row r="1762" spans="3:14" x14ac:dyDescent="0.35"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</row>
    <row r="1763" spans="3:14" x14ac:dyDescent="0.35"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</row>
    <row r="1764" spans="3:14" x14ac:dyDescent="0.35"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</row>
    <row r="1765" spans="3:14" x14ac:dyDescent="0.35"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</row>
    <row r="1766" spans="3:14" x14ac:dyDescent="0.35"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</row>
    <row r="1767" spans="3:14" x14ac:dyDescent="0.35"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</row>
    <row r="1768" spans="3:14" x14ac:dyDescent="0.35"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</row>
    <row r="1769" spans="3:14" x14ac:dyDescent="0.35"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</row>
    <row r="1770" spans="3:14" x14ac:dyDescent="0.35"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</row>
    <row r="1771" spans="3:14" x14ac:dyDescent="0.35"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</row>
    <row r="1772" spans="3:14" x14ac:dyDescent="0.35"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</row>
    <row r="1773" spans="3:14" x14ac:dyDescent="0.35"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</row>
    <row r="1774" spans="3:14" x14ac:dyDescent="0.35"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</row>
    <row r="1775" spans="3:14" x14ac:dyDescent="0.35"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</row>
    <row r="1776" spans="3:14" x14ac:dyDescent="0.35"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</row>
    <row r="1777" spans="3:14" x14ac:dyDescent="0.35"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</row>
    <row r="1778" spans="3:14" x14ac:dyDescent="0.35"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</row>
    <row r="1779" spans="3:14" x14ac:dyDescent="0.35"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</row>
    <row r="1780" spans="3:14" x14ac:dyDescent="0.35"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</row>
    <row r="1781" spans="3:14" x14ac:dyDescent="0.35"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</row>
    <row r="1782" spans="3:14" x14ac:dyDescent="0.35"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</row>
    <row r="1783" spans="3:14" x14ac:dyDescent="0.35"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</row>
    <row r="1784" spans="3:14" x14ac:dyDescent="0.35"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</row>
    <row r="1785" spans="3:14" x14ac:dyDescent="0.35"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</row>
    <row r="1786" spans="3:14" x14ac:dyDescent="0.35"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</row>
    <row r="1787" spans="3:14" x14ac:dyDescent="0.35"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</row>
    <row r="1788" spans="3:14" x14ac:dyDescent="0.35"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</row>
    <row r="1789" spans="3:14" x14ac:dyDescent="0.35"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</row>
    <row r="1790" spans="3:14" x14ac:dyDescent="0.35"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</row>
    <row r="1791" spans="3:14" x14ac:dyDescent="0.35"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</row>
    <row r="1792" spans="3:14" x14ac:dyDescent="0.35"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</row>
    <row r="1793" spans="3:14" x14ac:dyDescent="0.35"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</row>
    <row r="1794" spans="3:14" x14ac:dyDescent="0.35"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</row>
    <row r="1795" spans="3:14" x14ac:dyDescent="0.35"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</row>
    <row r="1796" spans="3:14" x14ac:dyDescent="0.35"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</row>
    <row r="1797" spans="3:14" x14ac:dyDescent="0.35"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</row>
    <row r="1798" spans="3:14" x14ac:dyDescent="0.35"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</row>
    <row r="1799" spans="3:14" x14ac:dyDescent="0.35"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</row>
    <row r="1800" spans="3:14" x14ac:dyDescent="0.35"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</row>
    <row r="1801" spans="3:14" x14ac:dyDescent="0.35"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</row>
    <row r="1802" spans="3:14" x14ac:dyDescent="0.35"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</row>
    <row r="1803" spans="3:14" x14ac:dyDescent="0.35"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</row>
    <row r="1804" spans="3:14" x14ac:dyDescent="0.35"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</row>
    <row r="1805" spans="3:14" x14ac:dyDescent="0.35"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</row>
    <row r="1806" spans="3:14" x14ac:dyDescent="0.35"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</row>
    <row r="1807" spans="3:14" x14ac:dyDescent="0.35"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</row>
    <row r="1808" spans="3:14" x14ac:dyDescent="0.35"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</row>
    <row r="1809" spans="3:14" x14ac:dyDescent="0.35"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</row>
    <row r="1810" spans="3:14" x14ac:dyDescent="0.35"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</row>
    <row r="1811" spans="3:14" x14ac:dyDescent="0.35"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</row>
    <row r="1812" spans="3:14" x14ac:dyDescent="0.35"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</row>
    <row r="1813" spans="3:14" x14ac:dyDescent="0.35"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</row>
    <row r="1814" spans="3:14" x14ac:dyDescent="0.35"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</row>
    <row r="1815" spans="3:14" x14ac:dyDescent="0.35"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</row>
    <row r="1816" spans="3:14" x14ac:dyDescent="0.35"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</row>
    <row r="1817" spans="3:14" x14ac:dyDescent="0.35"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</row>
    <row r="1818" spans="3:14" x14ac:dyDescent="0.35"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</row>
    <row r="1819" spans="3:14" x14ac:dyDescent="0.35"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</row>
    <row r="1820" spans="3:14" x14ac:dyDescent="0.35"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</row>
    <row r="1821" spans="3:14" x14ac:dyDescent="0.35"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</row>
    <row r="1822" spans="3:14" x14ac:dyDescent="0.35"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</row>
    <row r="1823" spans="3:14" x14ac:dyDescent="0.35"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</row>
    <row r="1824" spans="3:14" x14ac:dyDescent="0.35"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</row>
    <row r="1825" spans="3:14" x14ac:dyDescent="0.35"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</row>
    <row r="1826" spans="3:14" x14ac:dyDescent="0.35"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</row>
    <row r="1827" spans="3:14" x14ac:dyDescent="0.35"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</row>
    <row r="1828" spans="3:14" x14ac:dyDescent="0.35"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</row>
    <row r="1829" spans="3:14" x14ac:dyDescent="0.35"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</row>
    <row r="1830" spans="3:14" x14ac:dyDescent="0.35"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</row>
    <row r="1831" spans="3:14" x14ac:dyDescent="0.35"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</row>
    <row r="1832" spans="3:14" x14ac:dyDescent="0.35"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</row>
    <row r="1833" spans="3:14" x14ac:dyDescent="0.35"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</row>
    <row r="1834" spans="3:14" x14ac:dyDescent="0.35"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</row>
    <row r="1835" spans="3:14" x14ac:dyDescent="0.35"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</row>
    <row r="1836" spans="3:14" x14ac:dyDescent="0.35"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</row>
    <row r="1837" spans="3:14" x14ac:dyDescent="0.35"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</row>
    <row r="1838" spans="3:14" x14ac:dyDescent="0.35"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</row>
    <row r="1839" spans="3:14" x14ac:dyDescent="0.35"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</row>
    <row r="1840" spans="3:14" x14ac:dyDescent="0.35"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</row>
    <row r="1841" spans="3:14" x14ac:dyDescent="0.35"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</row>
    <row r="1842" spans="3:14" x14ac:dyDescent="0.35"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</row>
    <row r="1843" spans="3:14" x14ac:dyDescent="0.35"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</row>
    <row r="1844" spans="3:14" x14ac:dyDescent="0.35"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</row>
    <row r="1845" spans="3:14" x14ac:dyDescent="0.35"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</row>
    <row r="1846" spans="3:14" x14ac:dyDescent="0.35"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</row>
    <row r="1847" spans="3:14" x14ac:dyDescent="0.35"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</row>
    <row r="1848" spans="3:14" x14ac:dyDescent="0.35"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</row>
    <row r="1849" spans="3:14" x14ac:dyDescent="0.35"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</row>
    <row r="1850" spans="3:14" x14ac:dyDescent="0.35"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</row>
    <row r="1851" spans="3:14" x14ac:dyDescent="0.35"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</row>
    <row r="1852" spans="3:14" x14ac:dyDescent="0.35"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</row>
    <row r="1853" spans="3:14" x14ac:dyDescent="0.35"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</row>
    <row r="1854" spans="3:14" x14ac:dyDescent="0.35"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</row>
    <row r="1855" spans="3:14" x14ac:dyDescent="0.35"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</row>
    <row r="1856" spans="3:14" x14ac:dyDescent="0.35"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</row>
    <row r="1857" spans="3:14" x14ac:dyDescent="0.35"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</row>
    <row r="1858" spans="3:14" x14ac:dyDescent="0.35"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</row>
    <row r="1859" spans="3:14" x14ac:dyDescent="0.35"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</row>
    <row r="1860" spans="3:14" x14ac:dyDescent="0.35"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</row>
    <row r="1861" spans="3:14" x14ac:dyDescent="0.35"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</row>
    <row r="1862" spans="3:14" x14ac:dyDescent="0.35"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</row>
    <row r="1863" spans="3:14" x14ac:dyDescent="0.35"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</row>
    <row r="1864" spans="3:14" x14ac:dyDescent="0.35"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</row>
    <row r="1865" spans="3:14" x14ac:dyDescent="0.35"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</row>
    <row r="1866" spans="3:14" x14ac:dyDescent="0.35"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</row>
    <row r="1867" spans="3:14" x14ac:dyDescent="0.35"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</row>
    <row r="1868" spans="3:14" x14ac:dyDescent="0.35"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</row>
    <row r="1869" spans="3:14" x14ac:dyDescent="0.35"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</row>
    <row r="1870" spans="3:14" x14ac:dyDescent="0.35"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</row>
    <row r="1871" spans="3:14" x14ac:dyDescent="0.35"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</row>
    <row r="1872" spans="3:14" x14ac:dyDescent="0.35"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</row>
    <row r="1873" spans="3:14" x14ac:dyDescent="0.35"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</row>
    <row r="1874" spans="3:14" x14ac:dyDescent="0.35"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</row>
    <row r="1875" spans="3:14" x14ac:dyDescent="0.35"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</row>
    <row r="1876" spans="3:14" x14ac:dyDescent="0.35"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</row>
    <row r="1877" spans="3:14" x14ac:dyDescent="0.35"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</row>
    <row r="1878" spans="3:14" x14ac:dyDescent="0.35"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</row>
    <row r="1879" spans="3:14" x14ac:dyDescent="0.35"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</row>
    <row r="1880" spans="3:14" x14ac:dyDescent="0.35"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</row>
    <row r="1881" spans="3:14" x14ac:dyDescent="0.35"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</row>
    <row r="1882" spans="3:14" x14ac:dyDescent="0.35"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</row>
    <row r="1883" spans="3:14" x14ac:dyDescent="0.35"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</row>
    <row r="1884" spans="3:14" x14ac:dyDescent="0.35"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</row>
    <row r="1885" spans="3:14" x14ac:dyDescent="0.35"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</row>
    <row r="1886" spans="3:14" x14ac:dyDescent="0.35"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</row>
    <row r="1887" spans="3:14" x14ac:dyDescent="0.35"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</row>
    <row r="1888" spans="3:14" x14ac:dyDescent="0.35"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</row>
    <row r="1889" spans="3:14" x14ac:dyDescent="0.35"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</row>
    <row r="1890" spans="3:14" x14ac:dyDescent="0.35"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</row>
    <row r="1891" spans="3:14" x14ac:dyDescent="0.35"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</row>
    <row r="1892" spans="3:14" x14ac:dyDescent="0.35"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</row>
    <row r="1893" spans="3:14" x14ac:dyDescent="0.35"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</row>
    <row r="1894" spans="3:14" x14ac:dyDescent="0.35"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</row>
    <row r="1895" spans="3:14" x14ac:dyDescent="0.35"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</row>
    <row r="1896" spans="3:14" x14ac:dyDescent="0.35"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</row>
    <row r="1897" spans="3:14" x14ac:dyDescent="0.35"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</row>
    <row r="1898" spans="3:14" x14ac:dyDescent="0.35"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</row>
    <row r="1899" spans="3:14" x14ac:dyDescent="0.35"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</row>
    <row r="1900" spans="3:14" x14ac:dyDescent="0.35"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</row>
    <row r="1901" spans="3:14" x14ac:dyDescent="0.35"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</row>
    <row r="1902" spans="3:14" x14ac:dyDescent="0.35"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</row>
    <row r="1903" spans="3:14" x14ac:dyDescent="0.35"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</row>
    <row r="1904" spans="3:14" x14ac:dyDescent="0.35"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</row>
    <row r="1905" spans="3:14" x14ac:dyDescent="0.35"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</row>
    <row r="1906" spans="3:14" x14ac:dyDescent="0.35"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</row>
    <row r="1907" spans="3:14" x14ac:dyDescent="0.35"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</row>
    <row r="1908" spans="3:14" x14ac:dyDescent="0.35"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</row>
    <row r="1909" spans="3:14" x14ac:dyDescent="0.35"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</row>
    <row r="1910" spans="3:14" x14ac:dyDescent="0.35"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</row>
    <row r="1911" spans="3:14" x14ac:dyDescent="0.35"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</row>
    <row r="1912" spans="3:14" x14ac:dyDescent="0.35"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</row>
    <row r="1913" spans="3:14" x14ac:dyDescent="0.35"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</row>
    <row r="1914" spans="3:14" x14ac:dyDescent="0.35"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</row>
    <row r="1915" spans="3:14" x14ac:dyDescent="0.35"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</row>
    <row r="1916" spans="3:14" x14ac:dyDescent="0.35"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</row>
    <row r="1917" spans="3:14" x14ac:dyDescent="0.35"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</row>
    <row r="1918" spans="3:14" x14ac:dyDescent="0.35"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</row>
    <row r="1919" spans="3:14" x14ac:dyDescent="0.35"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</row>
    <row r="1920" spans="3:14" x14ac:dyDescent="0.35"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</row>
    <row r="1921" spans="3:14" x14ac:dyDescent="0.35"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</row>
    <row r="1922" spans="3:14" x14ac:dyDescent="0.35"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</row>
    <row r="1923" spans="3:14" x14ac:dyDescent="0.35"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</row>
    <row r="1924" spans="3:14" x14ac:dyDescent="0.35"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</row>
    <row r="1925" spans="3:14" x14ac:dyDescent="0.35"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</row>
    <row r="1926" spans="3:14" x14ac:dyDescent="0.35"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</row>
    <row r="1927" spans="3:14" x14ac:dyDescent="0.35"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</row>
    <row r="1928" spans="3:14" x14ac:dyDescent="0.35"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</row>
    <row r="1929" spans="3:14" x14ac:dyDescent="0.35"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</row>
    <row r="1930" spans="3:14" x14ac:dyDescent="0.35"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</row>
    <row r="1931" spans="3:14" x14ac:dyDescent="0.35"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</row>
    <row r="1932" spans="3:14" x14ac:dyDescent="0.35"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</row>
    <row r="1933" spans="3:14" x14ac:dyDescent="0.35"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</row>
    <row r="1934" spans="3:14" x14ac:dyDescent="0.35"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</row>
    <row r="1935" spans="3:14" x14ac:dyDescent="0.35"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</row>
    <row r="1936" spans="3:14" x14ac:dyDescent="0.35"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</row>
    <row r="1937" spans="3:14" x14ac:dyDescent="0.35"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</row>
    <row r="1938" spans="3:14" x14ac:dyDescent="0.35"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</row>
    <row r="1939" spans="3:14" x14ac:dyDescent="0.35"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</row>
    <row r="1940" spans="3:14" x14ac:dyDescent="0.35"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</row>
    <row r="1941" spans="3:14" x14ac:dyDescent="0.35"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</row>
    <row r="1942" spans="3:14" x14ac:dyDescent="0.35"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</row>
    <row r="1943" spans="3:14" x14ac:dyDescent="0.35"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</row>
    <row r="1944" spans="3:14" x14ac:dyDescent="0.35"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</row>
    <row r="1945" spans="3:14" x14ac:dyDescent="0.35"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</row>
    <row r="1946" spans="3:14" x14ac:dyDescent="0.35"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</row>
    <row r="1947" spans="3:14" x14ac:dyDescent="0.35"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</row>
    <row r="1948" spans="3:14" x14ac:dyDescent="0.35"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</row>
    <row r="1949" spans="3:14" x14ac:dyDescent="0.35"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</row>
    <row r="1950" spans="3:14" x14ac:dyDescent="0.35"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</row>
    <row r="1951" spans="3:14" x14ac:dyDescent="0.35"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</row>
    <row r="1952" spans="3:14" x14ac:dyDescent="0.35"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</row>
    <row r="1953" spans="3:14" x14ac:dyDescent="0.35"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</row>
    <row r="1954" spans="3:14" x14ac:dyDescent="0.35"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</row>
    <row r="1955" spans="3:14" x14ac:dyDescent="0.35"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</row>
    <row r="1956" spans="3:14" x14ac:dyDescent="0.35"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</row>
    <row r="1957" spans="3:14" x14ac:dyDescent="0.35"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</row>
    <row r="1958" spans="3:14" x14ac:dyDescent="0.35"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</row>
    <row r="1959" spans="3:14" x14ac:dyDescent="0.35"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</row>
    <row r="1960" spans="3:14" x14ac:dyDescent="0.35"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</row>
    <row r="1961" spans="3:14" x14ac:dyDescent="0.35"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</row>
    <row r="1962" spans="3:14" x14ac:dyDescent="0.35"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</row>
    <row r="1963" spans="3:14" x14ac:dyDescent="0.35"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</row>
    <row r="1964" spans="3:14" x14ac:dyDescent="0.35"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</row>
    <row r="1965" spans="3:14" x14ac:dyDescent="0.35"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</row>
    <row r="1966" spans="3:14" x14ac:dyDescent="0.35"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</row>
    <row r="1967" spans="3:14" x14ac:dyDescent="0.35"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</row>
    <row r="1968" spans="3:14" x14ac:dyDescent="0.35"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</row>
    <row r="1969" spans="3:14" x14ac:dyDescent="0.35"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</row>
    <row r="1970" spans="3:14" x14ac:dyDescent="0.35"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</row>
    <row r="1971" spans="3:14" x14ac:dyDescent="0.35"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</row>
    <row r="1972" spans="3:14" x14ac:dyDescent="0.35"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</row>
    <row r="1973" spans="3:14" x14ac:dyDescent="0.35"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</row>
    <row r="1974" spans="3:14" x14ac:dyDescent="0.35"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</row>
    <row r="1975" spans="3:14" x14ac:dyDescent="0.35"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</row>
    <row r="1976" spans="3:14" x14ac:dyDescent="0.35"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</row>
    <row r="1977" spans="3:14" x14ac:dyDescent="0.35"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</row>
    <row r="1978" spans="3:14" x14ac:dyDescent="0.35"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</row>
    <row r="1979" spans="3:14" x14ac:dyDescent="0.35"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</row>
    <row r="1980" spans="3:14" x14ac:dyDescent="0.35"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</row>
    <row r="1981" spans="3:14" x14ac:dyDescent="0.35"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</row>
    <row r="1982" spans="3:14" x14ac:dyDescent="0.35"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</row>
    <row r="1983" spans="3:14" x14ac:dyDescent="0.35"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</row>
    <row r="1984" spans="3:14" x14ac:dyDescent="0.35"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</row>
    <row r="1985" spans="3:14" x14ac:dyDescent="0.35"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</row>
    <row r="1986" spans="3:14" x14ac:dyDescent="0.35"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</row>
    <row r="1987" spans="3:14" x14ac:dyDescent="0.35"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</row>
    <row r="1988" spans="3:14" x14ac:dyDescent="0.35"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</row>
    <row r="1989" spans="3:14" x14ac:dyDescent="0.35"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</row>
    <row r="1990" spans="3:14" x14ac:dyDescent="0.35"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</row>
    <row r="1991" spans="3:14" x14ac:dyDescent="0.35"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</row>
    <row r="1992" spans="3:14" x14ac:dyDescent="0.35"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</row>
    <row r="1993" spans="3:14" x14ac:dyDescent="0.35"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</row>
    <row r="1994" spans="3:14" x14ac:dyDescent="0.35"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</row>
    <row r="1995" spans="3:14" x14ac:dyDescent="0.35"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</row>
    <row r="1996" spans="3:14" x14ac:dyDescent="0.35"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</row>
    <row r="1997" spans="3:14" x14ac:dyDescent="0.35"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</row>
    <row r="1998" spans="3:14" x14ac:dyDescent="0.35"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</row>
    <row r="1999" spans="3:14" x14ac:dyDescent="0.35"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</row>
    <row r="2000" spans="3:14" x14ac:dyDescent="0.35"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</row>
    <row r="2001" spans="3:14" x14ac:dyDescent="0.35"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</row>
    <row r="2002" spans="3:14" x14ac:dyDescent="0.35"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</row>
    <row r="2003" spans="3:14" x14ac:dyDescent="0.35"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</row>
    <row r="2004" spans="3:14" x14ac:dyDescent="0.35"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</row>
    <row r="2005" spans="3:14" x14ac:dyDescent="0.35"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</row>
    <row r="2006" spans="3:14" x14ac:dyDescent="0.35"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</row>
    <row r="2007" spans="3:14" x14ac:dyDescent="0.35"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</row>
    <row r="2008" spans="3:14" x14ac:dyDescent="0.35"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</row>
    <row r="2009" spans="3:14" x14ac:dyDescent="0.35"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</row>
    <row r="2010" spans="3:14" x14ac:dyDescent="0.35"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</row>
    <row r="2011" spans="3:14" x14ac:dyDescent="0.35"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</row>
    <row r="2012" spans="3:14" x14ac:dyDescent="0.35"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</row>
    <row r="2013" spans="3:14" x14ac:dyDescent="0.35"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</row>
    <row r="2014" spans="3:14" x14ac:dyDescent="0.35"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</row>
    <row r="2015" spans="3:14" x14ac:dyDescent="0.35"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</row>
    <row r="2016" spans="3:14" x14ac:dyDescent="0.35"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</row>
    <row r="2017" spans="3:14" x14ac:dyDescent="0.35"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</row>
    <row r="2018" spans="3:14" x14ac:dyDescent="0.35"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</row>
    <row r="2019" spans="3:14" x14ac:dyDescent="0.35"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</row>
    <row r="2020" spans="3:14" x14ac:dyDescent="0.35"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</row>
    <row r="2021" spans="3:14" x14ac:dyDescent="0.35"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</row>
    <row r="2022" spans="3:14" x14ac:dyDescent="0.35"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</row>
    <row r="2023" spans="3:14" x14ac:dyDescent="0.35"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</row>
    <row r="2024" spans="3:14" x14ac:dyDescent="0.35"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</row>
    <row r="2025" spans="3:14" x14ac:dyDescent="0.35"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</row>
    <row r="2026" spans="3:14" x14ac:dyDescent="0.35"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</row>
    <row r="2027" spans="3:14" x14ac:dyDescent="0.35"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</row>
    <row r="2028" spans="3:14" x14ac:dyDescent="0.35"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</row>
    <row r="2029" spans="3:14" x14ac:dyDescent="0.35"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</row>
    <row r="2030" spans="3:14" x14ac:dyDescent="0.35"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</row>
    <row r="2031" spans="3:14" x14ac:dyDescent="0.35"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</row>
    <row r="2032" spans="3:14" x14ac:dyDescent="0.35"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</row>
    <row r="2033" spans="3:14" x14ac:dyDescent="0.35"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</row>
    <row r="2034" spans="3:14" x14ac:dyDescent="0.35"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</row>
    <row r="2035" spans="3:14" x14ac:dyDescent="0.35"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</row>
    <row r="2036" spans="3:14" x14ac:dyDescent="0.35"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</row>
    <row r="2037" spans="3:14" x14ac:dyDescent="0.35"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</row>
    <row r="2038" spans="3:14" x14ac:dyDescent="0.35"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</row>
    <row r="2039" spans="3:14" x14ac:dyDescent="0.35"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</row>
    <row r="2040" spans="3:14" x14ac:dyDescent="0.35"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</row>
    <row r="2041" spans="3:14" x14ac:dyDescent="0.35"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</row>
    <row r="2042" spans="3:14" x14ac:dyDescent="0.35"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</row>
    <row r="2043" spans="3:14" x14ac:dyDescent="0.35"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</row>
    <row r="2044" spans="3:14" x14ac:dyDescent="0.35"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</row>
    <row r="2045" spans="3:14" x14ac:dyDescent="0.35"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</row>
    <row r="2046" spans="3:14" x14ac:dyDescent="0.35"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</row>
    <row r="2047" spans="3:14" x14ac:dyDescent="0.35"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</row>
    <row r="2048" spans="3:14" x14ac:dyDescent="0.35"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</row>
    <row r="2049" spans="3:14" x14ac:dyDescent="0.35"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</row>
    <row r="2050" spans="3:14" x14ac:dyDescent="0.35"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</row>
    <row r="2051" spans="3:14" x14ac:dyDescent="0.35"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</row>
    <row r="2052" spans="3:14" x14ac:dyDescent="0.35"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</row>
    <row r="2053" spans="3:14" x14ac:dyDescent="0.35"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</row>
    <row r="2054" spans="3:14" x14ac:dyDescent="0.35"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</row>
    <row r="2055" spans="3:14" x14ac:dyDescent="0.35"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</row>
    <row r="2056" spans="3:14" x14ac:dyDescent="0.35"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</row>
    <row r="2057" spans="3:14" x14ac:dyDescent="0.35"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</row>
    <row r="2058" spans="3:14" x14ac:dyDescent="0.35"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</row>
    <row r="2059" spans="3:14" x14ac:dyDescent="0.35"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</row>
    <row r="2060" spans="3:14" x14ac:dyDescent="0.35"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</row>
    <row r="2061" spans="3:14" x14ac:dyDescent="0.35"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</row>
    <row r="2062" spans="3:14" x14ac:dyDescent="0.35"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</row>
    <row r="2063" spans="3:14" x14ac:dyDescent="0.35"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</row>
    <row r="2064" spans="3:14" x14ac:dyDescent="0.35"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</row>
    <row r="2065" spans="3:14" x14ac:dyDescent="0.35"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</row>
    <row r="2066" spans="3:14" x14ac:dyDescent="0.35"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</row>
    <row r="2067" spans="3:14" x14ac:dyDescent="0.35"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</row>
    <row r="2068" spans="3:14" x14ac:dyDescent="0.35"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</row>
    <row r="2069" spans="3:14" x14ac:dyDescent="0.35"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</row>
    <row r="2070" spans="3:14" x14ac:dyDescent="0.35"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</row>
    <row r="2071" spans="3:14" x14ac:dyDescent="0.35"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</row>
    <row r="2072" spans="3:14" x14ac:dyDescent="0.35"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</row>
    <row r="2073" spans="3:14" x14ac:dyDescent="0.35"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</row>
    <row r="2074" spans="3:14" x14ac:dyDescent="0.35"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</row>
    <row r="2075" spans="3:14" x14ac:dyDescent="0.35"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</row>
    <row r="2076" spans="3:14" x14ac:dyDescent="0.35"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</row>
    <row r="2077" spans="3:14" x14ac:dyDescent="0.35"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</row>
    <row r="2078" spans="3:14" x14ac:dyDescent="0.35"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</row>
    <row r="2079" spans="3:14" x14ac:dyDescent="0.35"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</row>
    <row r="2080" spans="3:14" x14ac:dyDescent="0.35"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</row>
    <row r="2081" spans="3:14" x14ac:dyDescent="0.35"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</row>
    <row r="2082" spans="3:14" x14ac:dyDescent="0.35"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</row>
    <row r="2083" spans="3:14" x14ac:dyDescent="0.35"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</row>
    <row r="2084" spans="3:14" x14ac:dyDescent="0.35"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</row>
    <row r="2085" spans="3:14" x14ac:dyDescent="0.35"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</row>
    <row r="2086" spans="3:14" x14ac:dyDescent="0.35"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</row>
    <row r="2087" spans="3:14" x14ac:dyDescent="0.35"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</row>
    <row r="2088" spans="3:14" x14ac:dyDescent="0.35"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</row>
    <row r="2089" spans="3:14" x14ac:dyDescent="0.35"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</row>
    <row r="2090" spans="3:14" x14ac:dyDescent="0.35"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</row>
    <row r="2091" spans="3:14" x14ac:dyDescent="0.35"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</row>
    <row r="2092" spans="3:14" x14ac:dyDescent="0.35"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</row>
    <row r="2093" spans="3:14" x14ac:dyDescent="0.35"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</row>
    <row r="2094" spans="3:14" x14ac:dyDescent="0.35"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</row>
    <row r="2095" spans="3:14" x14ac:dyDescent="0.35"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</row>
    <row r="2096" spans="3:14" x14ac:dyDescent="0.35"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</row>
    <row r="2097" spans="3:14" x14ac:dyDescent="0.35"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</row>
    <row r="2098" spans="3:14" x14ac:dyDescent="0.35"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</row>
    <row r="2099" spans="3:14" x14ac:dyDescent="0.35"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</row>
    <row r="2100" spans="3:14" x14ac:dyDescent="0.35"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</row>
    <row r="2101" spans="3:14" x14ac:dyDescent="0.35"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</row>
    <row r="2102" spans="3:14" x14ac:dyDescent="0.35"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</row>
    <row r="2103" spans="3:14" x14ac:dyDescent="0.35"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</row>
    <row r="2104" spans="3:14" x14ac:dyDescent="0.35"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</row>
    <row r="2105" spans="3:14" x14ac:dyDescent="0.35"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</row>
    <row r="2106" spans="3:14" x14ac:dyDescent="0.35"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</row>
    <row r="2107" spans="3:14" x14ac:dyDescent="0.35"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</row>
    <row r="2108" spans="3:14" x14ac:dyDescent="0.35"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</row>
    <row r="2109" spans="3:14" x14ac:dyDescent="0.35"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</row>
    <row r="2110" spans="3:14" x14ac:dyDescent="0.35"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</row>
    <row r="2111" spans="3:14" x14ac:dyDescent="0.35"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</row>
    <row r="2112" spans="3:14" x14ac:dyDescent="0.35"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</row>
    <row r="2113" spans="3:14" x14ac:dyDescent="0.35"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</row>
    <row r="2114" spans="3:14" x14ac:dyDescent="0.35"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</row>
    <row r="2115" spans="3:14" x14ac:dyDescent="0.35"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</row>
    <row r="2116" spans="3:14" x14ac:dyDescent="0.35"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</row>
    <row r="2117" spans="3:14" x14ac:dyDescent="0.35"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</row>
    <row r="2118" spans="3:14" x14ac:dyDescent="0.35"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</row>
    <row r="2119" spans="3:14" x14ac:dyDescent="0.35"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</row>
    <row r="2120" spans="3:14" x14ac:dyDescent="0.35"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</row>
    <row r="2121" spans="3:14" x14ac:dyDescent="0.35"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</row>
    <row r="2122" spans="3:14" x14ac:dyDescent="0.35"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</row>
    <row r="2123" spans="3:14" x14ac:dyDescent="0.35"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</row>
    <row r="2124" spans="3:14" x14ac:dyDescent="0.35"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</row>
    <row r="2125" spans="3:14" x14ac:dyDescent="0.35"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</row>
    <row r="2126" spans="3:14" x14ac:dyDescent="0.35"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</row>
    <row r="2127" spans="3:14" x14ac:dyDescent="0.35"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</row>
    <row r="2128" spans="3:14" x14ac:dyDescent="0.35"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</row>
    <row r="2129" spans="3:14" x14ac:dyDescent="0.35"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</row>
    <row r="2130" spans="3:14" x14ac:dyDescent="0.35"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</row>
    <row r="2131" spans="3:14" x14ac:dyDescent="0.35"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</row>
    <row r="2132" spans="3:14" x14ac:dyDescent="0.35"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</row>
    <row r="2133" spans="3:14" x14ac:dyDescent="0.35"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</row>
    <row r="2134" spans="3:14" x14ac:dyDescent="0.35"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</row>
    <row r="2135" spans="3:14" x14ac:dyDescent="0.35"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</row>
    <row r="2136" spans="3:14" x14ac:dyDescent="0.35"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</row>
    <row r="2137" spans="3:14" x14ac:dyDescent="0.35"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</row>
    <row r="2138" spans="3:14" x14ac:dyDescent="0.35"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</row>
    <row r="2139" spans="3:14" x14ac:dyDescent="0.35"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</row>
    <row r="2140" spans="3:14" x14ac:dyDescent="0.35"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</row>
    <row r="2141" spans="3:14" x14ac:dyDescent="0.35"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</row>
    <row r="2142" spans="3:14" x14ac:dyDescent="0.35"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</row>
    <row r="2143" spans="3:14" x14ac:dyDescent="0.35"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</row>
    <row r="2144" spans="3:14" x14ac:dyDescent="0.35"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</row>
    <row r="2145" spans="3:14" x14ac:dyDescent="0.35"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</row>
    <row r="2146" spans="3:14" x14ac:dyDescent="0.35"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</row>
    <row r="2147" spans="3:14" x14ac:dyDescent="0.35"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</row>
    <row r="2148" spans="3:14" x14ac:dyDescent="0.35"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</row>
    <row r="2149" spans="3:14" x14ac:dyDescent="0.35"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</row>
    <row r="2150" spans="3:14" x14ac:dyDescent="0.35"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</row>
    <row r="2151" spans="3:14" x14ac:dyDescent="0.35"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</row>
    <row r="2152" spans="3:14" x14ac:dyDescent="0.35"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</row>
    <row r="2153" spans="3:14" x14ac:dyDescent="0.35"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</row>
    <row r="2154" spans="3:14" x14ac:dyDescent="0.35"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</row>
    <row r="2155" spans="3:14" x14ac:dyDescent="0.35"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</row>
    <row r="2156" spans="3:14" x14ac:dyDescent="0.35"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</row>
    <row r="2157" spans="3:14" x14ac:dyDescent="0.35"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</row>
    <row r="2158" spans="3:14" x14ac:dyDescent="0.35"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</row>
    <row r="2159" spans="3:14" x14ac:dyDescent="0.35"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</row>
    <row r="2160" spans="3:14" x14ac:dyDescent="0.35"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</row>
    <row r="2161" spans="3:14" x14ac:dyDescent="0.35"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</row>
    <row r="2162" spans="3:14" x14ac:dyDescent="0.35"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</row>
    <row r="2163" spans="3:14" x14ac:dyDescent="0.35"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</row>
    <row r="2164" spans="3:14" x14ac:dyDescent="0.35"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</row>
    <row r="2165" spans="3:14" x14ac:dyDescent="0.35"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</row>
    <row r="2166" spans="3:14" x14ac:dyDescent="0.35"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</row>
    <row r="2167" spans="3:14" x14ac:dyDescent="0.35"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</row>
    <row r="2168" spans="3:14" x14ac:dyDescent="0.35"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</row>
    <row r="2169" spans="3:14" x14ac:dyDescent="0.35"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</row>
    <row r="2170" spans="3:14" x14ac:dyDescent="0.35"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</row>
    <row r="2171" spans="3:14" x14ac:dyDescent="0.35"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</row>
    <row r="2172" spans="3:14" x14ac:dyDescent="0.35">
      <c r="C2172" s="1"/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</row>
    <row r="2173" spans="3:14" x14ac:dyDescent="0.35"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</row>
    <row r="2174" spans="3:14" x14ac:dyDescent="0.35"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</row>
    <row r="2175" spans="3:14" x14ac:dyDescent="0.35"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</row>
    <row r="2176" spans="3:14" x14ac:dyDescent="0.35"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</row>
    <row r="2177" spans="3:14" x14ac:dyDescent="0.35"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</row>
    <row r="2178" spans="3:14" x14ac:dyDescent="0.35"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</row>
    <row r="2179" spans="3:14" x14ac:dyDescent="0.35"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</row>
    <row r="2180" spans="3:14" x14ac:dyDescent="0.35"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</row>
    <row r="2181" spans="3:14" x14ac:dyDescent="0.35"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</row>
    <row r="2182" spans="3:14" x14ac:dyDescent="0.35"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</row>
    <row r="2183" spans="3:14" x14ac:dyDescent="0.35"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</row>
    <row r="2184" spans="3:14" x14ac:dyDescent="0.35"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</row>
    <row r="2185" spans="3:14" x14ac:dyDescent="0.35"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</row>
    <row r="2186" spans="3:14" x14ac:dyDescent="0.35"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</row>
    <row r="2187" spans="3:14" x14ac:dyDescent="0.35"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</row>
    <row r="2188" spans="3:14" x14ac:dyDescent="0.35"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</row>
    <row r="2189" spans="3:14" x14ac:dyDescent="0.35"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</row>
    <row r="2190" spans="3:14" x14ac:dyDescent="0.35"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</row>
    <row r="2191" spans="3:14" x14ac:dyDescent="0.35"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</row>
    <row r="2192" spans="3:14" x14ac:dyDescent="0.35"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</row>
    <row r="2193" spans="3:14" x14ac:dyDescent="0.35"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</row>
    <row r="2194" spans="3:14" x14ac:dyDescent="0.35"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</row>
    <row r="2195" spans="3:14" x14ac:dyDescent="0.35"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</row>
    <row r="2196" spans="3:14" x14ac:dyDescent="0.35"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</row>
    <row r="2197" spans="3:14" x14ac:dyDescent="0.35"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</row>
    <row r="2198" spans="3:14" x14ac:dyDescent="0.35"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</row>
    <row r="2199" spans="3:14" x14ac:dyDescent="0.35"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</row>
    <row r="2200" spans="3:14" x14ac:dyDescent="0.35"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</row>
    <row r="2201" spans="3:14" x14ac:dyDescent="0.35"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</row>
    <row r="2202" spans="3:14" x14ac:dyDescent="0.35"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</row>
    <row r="2203" spans="3:14" x14ac:dyDescent="0.35"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</row>
    <row r="2204" spans="3:14" x14ac:dyDescent="0.35"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</row>
    <row r="2205" spans="3:14" x14ac:dyDescent="0.35"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</row>
    <row r="2206" spans="3:14" x14ac:dyDescent="0.35"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</row>
    <row r="2207" spans="3:14" x14ac:dyDescent="0.35"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</row>
    <row r="2208" spans="3:14" x14ac:dyDescent="0.35"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</row>
    <row r="2209" spans="3:14" x14ac:dyDescent="0.35"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</row>
    <row r="2210" spans="3:14" x14ac:dyDescent="0.35"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</row>
    <row r="2211" spans="3:14" x14ac:dyDescent="0.35"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</row>
    <row r="2212" spans="3:14" x14ac:dyDescent="0.35"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</row>
    <row r="2213" spans="3:14" x14ac:dyDescent="0.35"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</row>
    <row r="2214" spans="3:14" x14ac:dyDescent="0.35"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</row>
    <row r="2215" spans="3:14" x14ac:dyDescent="0.35"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</row>
    <row r="2216" spans="3:14" x14ac:dyDescent="0.35"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</row>
    <row r="2217" spans="3:14" x14ac:dyDescent="0.35"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</row>
    <row r="2218" spans="3:14" x14ac:dyDescent="0.35"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</row>
    <row r="2219" spans="3:14" x14ac:dyDescent="0.35"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</row>
    <row r="2220" spans="3:14" x14ac:dyDescent="0.35"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</row>
    <row r="2221" spans="3:14" x14ac:dyDescent="0.35"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</row>
    <row r="2222" spans="3:14" x14ac:dyDescent="0.35"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</row>
    <row r="2223" spans="3:14" x14ac:dyDescent="0.35"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</row>
    <row r="2224" spans="3:14" x14ac:dyDescent="0.35"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</row>
    <row r="2225" spans="3:14" x14ac:dyDescent="0.35"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</row>
    <row r="2226" spans="3:14" x14ac:dyDescent="0.35"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</row>
    <row r="2227" spans="3:14" x14ac:dyDescent="0.35"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</row>
    <row r="2228" spans="3:14" x14ac:dyDescent="0.35"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</row>
    <row r="2229" spans="3:14" x14ac:dyDescent="0.35"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</row>
    <row r="2230" spans="3:14" x14ac:dyDescent="0.35"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</row>
    <row r="2231" spans="3:14" x14ac:dyDescent="0.35"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</row>
    <row r="2232" spans="3:14" x14ac:dyDescent="0.35"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</row>
    <row r="2233" spans="3:14" x14ac:dyDescent="0.35"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</row>
    <row r="2234" spans="3:14" x14ac:dyDescent="0.35"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</row>
    <row r="2235" spans="3:14" x14ac:dyDescent="0.35"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</row>
    <row r="2236" spans="3:14" x14ac:dyDescent="0.35"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</row>
    <row r="2237" spans="3:14" x14ac:dyDescent="0.35"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</row>
    <row r="2238" spans="3:14" x14ac:dyDescent="0.35"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</row>
    <row r="2239" spans="3:14" x14ac:dyDescent="0.35"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</row>
    <row r="2240" spans="3:14" x14ac:dyDescent="0.35"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</row>
    <row r="2241" spans="3:14" x14ac:dyDescent="0.35"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</row>
    <row r="2242" spans="3:14" x14ac:dyDescent="0.35"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</row>
    <row r="2243" spans="3:14" x14ac:dyDescent="0.35"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</row>
    <row r="2244" spans="3:14" x14ac:dyDescent="0.35"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</row>
    <row r="2245" spans="3:14" x14ac:dyDescent="0.35"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</row>
    <row r="2246" spans="3:14" x14ac:dyDescent="0.35"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</row>
    <row r="2247" spans="3:14" x14ac:dyDescent="0.35"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</row>
    <row r="2248" spans="3:14" x14ac:dyDescent="0.35"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</row>
    <row r="2249" spans="3:14" x14ac:dyDescent="0.35"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</row>
    <row r="2250" spans="3:14" x14ac:dyDescent="0.35"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</row>
    <row r="2251" spans="3:14" x14ac:dyDescent="0.35"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</row>
    <row r="2252" spans="3:14" x14ac:dyDescent="0.35"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</row>
    <row r="2253" spans="3:14" x14ac:dyDescent="0.35"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</row>
    <row r="2254" spans="3:14" x14ac:dyDescent="0.35"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</row>
    <row r="2255" spans="3:14" x14ac:dyDescent="0.35"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</row>
    <row r="2256" spans="3:14" x14ac:dyDescent="0.35"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</row>
    <row r="2257" spans="3:14" x14ac:dyDescent="0.35"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</row>
    <row r="2258" spans="3:14" x14ac:dyDescent="0.35"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</row>
    <row r="2259" spans="3:14" x14ac:dyDescent="0.35"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</row>
    <row r="2260" spans="3:14" x14ac:dyDescent="0.35"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</row>
    <row r="2261" spans="3:14" x14ac:dyDescent="0.35"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</row>
    <row r="2262" spans="3:14" x14ac:dyDescent="0.35"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</row>
    <row r="2263" spans="3:14" x14ac:dyDescent="0.35"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</row>
    <row r="2264" spans="3:14" x14ac:dyDescent="0.35"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</row>
    <row r="2265" spans="3:14" x14ac:dyDescent="0.35"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</row>
    <row r="2266" spans="3:14" x14ac:dyDescent="0.35"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</row>
    <row r="2267" spans="3:14" x14ac:dyDescent="0.35"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</row>
    <row r="2268" spans="3:14" x14ac:dyDescent="0.35"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</row>
    <row r="2269" spans="3:14" x14ac:dyDescent="0.35"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</row>
    <row r="2270" spans="3:14" x14ac:dyDescent="0.35"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</row>
    <row r="2271" spans="3:14" x14ac:dyDescent="0.35"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</row>
    <row r="2272" spans="3:14" x14ac:dyDescent="0.35"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</row>
    <row r="2273" spans="3:14" x14ac:dyDescent="0.35"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</row>
    <row r="2274" spans="3:14" x14ac:dyDescent="0.35"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</row>
    <row r="2275" spans="3:14" x14ac:dyDescent="0.35"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</row>
    <row r="2276" spans="3:14" x14ac:dyDescent="0.35"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</row>
    <row r="2277" spans="3:14" x14ac:dyDescent="0.35"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</row>
    <row r="2278" spans="3:14" x14ac:dyDescent="0.35"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</row>
    <row r="2279" spans="3:14" x14ac:dyDescent="0.35"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</row>
    <row r="2280" spans="3:14" x14ac:dyDescent="0.35"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</row>
    <row r="2281" spans="3:14" x14ac:dyDescent="0.35"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</row>
    <row r="2282" spans="3:14" x14ac:dyDescent="0.35"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</row>
    <row r="2283" spans="3:14" x14ac:dyDescent="0.35"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</row>
    <row r="2284" spans="3:14" x14ac:dyDescent="0.35"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</row>
    <row r="2285" spans="3:14" x14ac:dyDescent="0.35"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</row>
    <row r="2286" spans="3:14" x14ac:dyDescent="0.35"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</row>
    <row r="2287" spans="3:14" x14ac:dyDescent="0.35"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</row>
    <row r="2288" spans="3:14" x14ac:dyDescent="0.35"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</row>
    <row r="2289" spans="3:14" x14ac:dyDescent="0.35"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</row>
    <row r="2290" spans="3:14" x14ac:dyDescent="0.35"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</row>
    <row r="2291" spans="3:14" x14ac:dyDescent="0.35"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</row>
    <row r="2292" spans="3:14" x14ac:dyDescent="0.35"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</row>
    <row r="2293" spans="3:14" x14ac:dyDescent="0.35"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</row>
    <row r="2294" spans="3:14" x14ac:dyDescent="0.35"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</row>
    <row r="2295" spans="3:14" x14ac:dyDescent="0.35"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</row>
    <row r="2296" spans="3:14" x14ac:dyDescent="0.35"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</row>
    <row r="2297" spans="3:14" x14ac:dyDescent="0.35"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</row>
    <row r="2298" spans="3:14" x14ac:dyDescent="0.35"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</row>
    <row r="2299" spans="3:14" x14ac:dyDescent="0.35"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</row>
    <row r="2300" spans="3:14" x14ac:dyDescent="0.35"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</row>
    <row r="2301" spans="3:14" x14ac:dyDescent="0.35"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</row>
    <row r="2302" spans="3:14" x14ac:dyDescent="0.35"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</row>
    <row r="2303" spans="3:14" x14ac:dyDescent="0.35"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</row>
    <row r="2304" spans="3:14" x14ac:dyDescent="0.35"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</row>
    <row r="2305" spans="3:14" x14ac:dyDescent="0.35"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</row>
    <row r="2306" spans="3:14" x14ac:dyDescent="0.35"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</row>
    <row r="2307" spans="3:14" x14ac:dyDescent="0.35"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</row>
    <row r="2308" spans="3:14" x14ac:dyDescent="0.35"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</row>
    <row r="2309" spans="3:14" x14ac:dyDescent="0.35"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</row>
    <row r="2310" spans="3:14" x14ac:dyDescent="0.35"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</row>
    <row r="2311" spans="3:14" x14ac:dyDescent="0.35"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</row>
    <row r="2312" spans="3:14" x14ac:dyDescent="0.35"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</row>
    <row r="2313" spans="3:14" x14ac:dyDescent="0.35"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</row>
    <row r="2314" spans="3:14" x14ac:dyDescent="0.35"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</row>
    <row r="2315" spans="3:14" x14ac:dyDescent="0.35"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</row>
    <row r="2316" spans="3:14" x14ac:dyDescent="0.35"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</row>
    <row r="2317" spans="3:14" x14ac:dyDescent="0.35"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</row>
    <row r="2318" spans="3:14" x14ac:dyDescent="0.35"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</row>
    <row r="2319" spans="3:14" x14ac:dyDescent="0.35"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</row>
    <row r="2320" spans="3:14" x14ac:dyDescent="0.35"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</row>
    <row r="2321" spans="3:14" x14ac:dyDescent="0.35"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</row>
    <row r="2322" spans="3:14" x14ac:dyDescent="0.35"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</row>
    <row r="2323" spans="3:14" x14ac:dyDescent="0.35"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</row>
    <row r="2324" spans="3:14" x14ac:dyDescent="0.35"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</row>
    <row r="2325" spans="3:14" x14ac:dyDescent="0.35"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</row>
    <row r="2326" spans="3:14" x14ac:dyDescent="0.35"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</row>
    <row r="2327" spans="3:14" x14ac:dyDescent="0.35"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</row>
    <row r="2328" spans="3:14" x14ac:dyDescent="0.35"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</row>
    <row r="2329" spans="3:14" x14ac:dyDescent="0.35"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</row>
    <row r="2330" spans="3:14" x14ac:dyDescent="0.35"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</row>
    <row r="2331" spans="3:14" x14ac:dyDescent="0.35"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</row>
    <row r="2332" spans="3:14" x14ac:dyDescent="0.35"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</row>
    <row r="2333" spans="3:14" x14ac:dyDescent="0.35"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</row>
    <row r="2334" spans="3:14" x14ac:dyDescent="0.35"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</row>
    <row r="2335" spans="3:14" x14ac:dyDescent="0.35"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</row>
    <row r="2336" spans="3:14" x14ac:dyDescent="0.35"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</row>
    <row r="2337" spans="3:14" x14ac:dyDescent="0.35"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</row>
    <row r="2338" spans="3:14" x14ac:dyDescent="0.35"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</row>
    <row r="2339" spans="3:14" x14ac:dyDescent="0.35"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</row>
    <row r="2340" spans="3:14" x14ac:dyDescent="0.35"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</row>
    <row r="2341" spans="3:14" x14ac:dyDescent="0.35"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</row>
    <row r="2342" spans="3:14" x14ac:dyDescent="0.35"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</row>
    <row r="2343" spans="3:14" x14ac:dyDescent="0.35"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</row>
    <row r="2344" spans="3:14" x14ac:dyDescent="0.35"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</row>
    <row r="2345" spans="3:14" x14ac:dyDescent="0.35"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</row>
    <row r="2346" spans="3:14" x14ac:dyDescent="0.35"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</row>
    <row r="2347" spans="3:14" x14ac:dyDescent="0.35"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</row>
    <row r="2348" spans="3:14" x14ac:dyDescent="0.35"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</row>
    <row r="2349" spans="3:14" x14ac:dyDescent="0.35"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</row>
    <row r="2350" spans="3:14" x14ac:dyDescent="0.35"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</row>
    <row r="2351" spans="3:14" x14ac:dyDescent="0.35"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</row>
    <row r="2352" spans="3:14" x14ac:dyDescent="0.35"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</row>
    <row r="2353" spans="3:14" x14ac:dyDescent="0.35"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</row>
    <row r="2354" spans="3:14" x14ac:dyDescent="0.35"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</row>
    <row r="2355" spans="3:14" x14ac:dyDescent="0.35"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</row>
    <row r="2356" spans="3:14" x14ac:dyDescent="0.35"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</row>
    <row r="2357" spans="3:14" x14ac:dyDescent="0.35"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</row>
    <row r="2358" spans="3:14" x14ac:dyDescent="0.35"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</row>
    <row r="2359" spans="3:14" x14ac:dyDescent="0.35"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</row>
    <row r="2360" spans="3:14" x14ac:dyDescent="0.35"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</row>
    <row r="2361" spans="3:14" x14ac:dyDescent="0.35"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</row>
    <row r="2362" spans="3:14" x14ac:dyDescent="0.35"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</row>
    <row r="2363" spans="3:14" x14ac:dyDescent="0.35"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</row>
    <row r="2364" spans="3:14" x14ac:dyDescent="0.35"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</row>
    <row r="2365" spans="3:14" x14ac:dyDescent="0.35"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</row>
    <row r="2366" spans="3:14" x14ac:dyDescent="0.35"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</row>
    <row r="2367" spans="3:14" x14ac:dyDescent="0.35"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</row>
    <row r="2368" spans="3:14" x14ac:dyDescent="0.35"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</row>
    <row r="2369" spans="3:14" x14ac:dyDescent="0.35"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</row>
    <row r="2370" spans="3:14" x14ac:dyDescent="0.35"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</row>
    <row r="2371" spans="3:14" x14ac:dyDescent="0.35"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</row>
    <row r="2372" spans="3:14" x14ac:dyDescent="0.35"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</row>
    <row r="2373" spans="3:14" x14ac:dyDescent="0.35"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</row>
    <row r="2374" spans="3:14" x14ac:dyDescent="0.35"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</row>
    <row r="2375" spans="3:14" x14ac:dyDescent="0.35"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</row>
    <row r="2376" spans="3:14" x14ac:dyDescent="0.35"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</row>
    <row r="2377" spans="3:14" x14ac:dyDescent="0.35"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</row>
    <row r="2378" spans="3:14" x14ac:dyDescent="0.35"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</row>
    <row r="2379" spans="3:14" x14ac:dyDescent="0.35"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</row>
    <row r="2380" spans="3:14" x14ac:dyDescent="0.35"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</row>
    <row r="2381" spans="3:14" x14ac:dyDescent="0.35"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</row>
    <row r="2382" spans="3:14" x14ac:dyDescent="0.35"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</row>
    <row r="2383" spans="3:14" x14ac:dyDescent="0.35"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</row>
    <row r="2384" spans="3:14" x14ac:dyDescent="0.35"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</row>
    <row r="2385" spans="3:14" x14ac:dyDescent="0.35"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</row>
    <row r="2386" spans="3:14" x14ac:dyDescent="0.35"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</row>
    <row r="2387" spans="3:14" x14ac:dyDescent="0.35"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</row>
    <row r="2388" spans="3:14" x14ac:dyDescent="0.35"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</row>
    <row r="2389" spans="3:14" x14ac:dyDescent="0.35"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</row>
    <row r="2390" spans="3:14" x14ac:dyDescent="0.35"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</row>
    <row r="2391" spans="3:14" x14ac:dyDescent="0.35"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</row>
    <row r="2392" spans="3:14" x14ac:dyDescent="0.35"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</row>
    <row r="2393" spans="3:14" x14ac:dyDescent="0.35"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</row>
    <row r="2394" spans="3:14" x14ac:dyDescent="0.35"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</row>
    <row r="2395" spans="3:14" x14ac:dyDescent="0.35"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</row>
    <row r="2396" spans="3:14" x14ac:dyDescent="0.35"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</row>
    <row r="2397" spans="3:14" x14ac:dyDescent="0.35"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</row>
    <row r="2398" spans="3:14" x14ac:dyDescent="0.35"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</row>
    <row r="2399" spans="3:14" x14ac:dyDescent="0.35"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</row>
    <row r="2400" spans="3:14" x14ac:dyDescent="0.35"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</row>
    <row r="2401" spans="3:14" x14ac:dyDescent="0.35"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</row>
    <row r="2402" spans="3:14" x14ac:dyDescent="0.35"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</row>
    <row r="2403" spans="3:14" x14ac:dyDescent="0.35"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</row>
    <row r="2404" spans="3:14" x14ac:dyDescent="0.35"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</row>
    <row r="2405" spans="3:14" x14ac:dyDescent="0.35"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</row>
    <row r="2406" spans="3:14" x14ac:dyDescent="0.35"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</row>
    <row r="2407" spans="3:14" x14ac:dyDescent="0.35"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</row>
    <row r="2408" spans="3:14" x14ac:dyDescent="0.35"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</row>
    <row r="2409" spans="3:14" x14ac:dyDescent="0.35"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</row>
    <row r="2410" spans="3:14" x14ac:dyDescent="0.35"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</row>
    <row r="2411" spans="3:14" x14ac:dyDescent="0.35"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</row>
    <row r="2412" spans="3:14" x14ac:dyDescent="0.35"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</row>
    <row r="2413" spans="3:14" x14ac:dyDescent="0.35"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</row>
    <row r="2414" spans="3:14" x14ac:dyDescent="0.35"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</row>
    <row r="2415" spans="3:14" x14ac:dyDescent="0.35"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</row>
    <row r="2416" spans="3:14" x14ac:dyDescent="0.35"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</row>
    <row r="2417" spans="3:14" x14ac:dyDescent="0.35"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</row>
    <row r="2418" spans="3:14" x14ac:dyDescent="0.35"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</row>
    <row r="2419" spans="3:14" x14ac:dyDescent="0.35"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</row>
    <row r="2420" spans="3:14" x14ac:dyDescent="0.35"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</row>
    <row r="2421" spans="3:14" x14ac:dyDescent="0.35"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</row>
    <row r="2422" spans="3:14" x14ac:dyDescent="0.35"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</row>
    <row r="2423" spans="3:14" x14ac:dyDescent="0.35"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</row>
    <row r="2424" spans="3:14" x14ac:dyDescent="0.35"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</row>
    <row r="2425" spans="3:14" x14ac:dyDescent="0.35"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</row>
    <row r="2426" spans="3:14" x14ac:dyDescent="0.35"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</row>
    <row r="2427" spans="3:14" x14ac:dyDescent="0.35"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</row>
    <row r="2428" spans="3:14" x14ac:dyDescent="0.35"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</row>
    <row r="2429" spans="3:14" x14ac:dyDescent="0.35"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</row>
    <row r="2430" spans="3:14" x14ac:dyDescent="0.35"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</row>
    <row r="2431" spans="3:14" x14ac:dyDescent="0.35"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</row>
    <row r="2432" spans="3:14" x14ac:dyDescent="0.35"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</row>
    <row r="2433" spans="3:14" x14ac:dyDescent="0.35"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</row>
    <row r="2434" spans="3:14" x14ac:dyDescent="0.35"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</row>
    <row r="2435" spans="3:14" x14ac:dyDescent="0.35"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</row>
    <row r="2436" spans="3:14" x14ac:dyDescent="0.35"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</row>
    <row r="2437" spans="3:14" x14ac:dyDescent="0.35"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</row>
    <row r="2438" spans="3:14" x14ac:dyDescent="0.35"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</row>
    <row r="2439" spans="3:14" x14ac:dyDescent="0.35"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</row>
    <row r="2440" spans="3:14" x14ac:dyDescent="0.35"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</row>
    <row r="2441" spans="3:14" x14ac:dyDescent="0.35"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</row>
    <row r="2442" spans="3:14" x14ac:dyDescent="0.35"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</row>
    <row r="2443" spans="3:14" x14ac:dyDescent="0.35"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</row>
    <row r="2444" spans="3:14" x14ac:dyDescent="0.35"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</row>
    <row r="2445" spans="3:14" x14ac:dyDescent="0.35"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</row>
    <row r="2446" spans="3:14" x14ac:dyDescent="0.35"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</row>
    <row r="2447" spans="3:14" x14ac:dyDescent="0.35"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</row>
    <row r="2448" spans="3:14" x14ac:dyDescent="0.35"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</row>
    <row r="2449" spans="3:14" x14ac:dyDescent="0.35"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</row>
    <row r="2450" spans="3:14" x14ac:dyDescent="0.35"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</row>
    <row r="2451" spans="3:14" x14ac:dyDescent="0.35"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</row>
    <row r="2452" spans="3:14" x14ac:dyDescent="0.35"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</row>
    <row r="2453" spans="3:14" x14ac:dyDescent="0.35"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</row>
    <row r="2454" spans="3:14" x14ac:dyDescent="0.35"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</row>
    <row r="2455" spans="3:14" x14ac:dyDescent="0.35"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</row>
    <row r="2456" spans="3:14" x14ac:dyDescent="0.35"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</row>
    <row r="2457" spans="3:14" x14ac:dyDescent="0.35"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</row>
    <row r="2458" spans="3:14" x14ac:dyDescent="0.35"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</row>
    <row r="2459" spans="3:14" x14ac:dyDescent="0.35"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</row>
    <row r="2460" spans="3:14" x14ac:dyDescent="0.35"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</row>
    <row r="2461" spans="3:14" x14ac:dyDescent="0.35"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</row>
    <row r="2462" spans="3:14" x14ac:dyDescent="0.35"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</row>
    <row r="2463" spans="3:14" x14ac:dyDescent="0.35"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</row>
    <row r="2464" spans="3:14" x14ac:dyDescent="0.35"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</row>
    <row r="2465" spans="3:14" x14ac:dyDescent="0.35"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</row>
    <row r="2466" spans="3:14" x14ac:dyDescent="0.35"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</row>
    <row r="2467" spans="3:14" x14ac:dyDescent="0.35"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</row>
    <row r="2468" spans="3:14" x14ac:dyDescent="0.35"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</row>
    <row r="2469" spans="3:14" x14ac:dyDescent="0.35"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</row>
    <row r="2470" spans="3:14" x14ac:dyDescent="0.35"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</row>
    <row r="2471" spans="3:14" x14ac:dyDescent="0.35"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</row>
    <row r="2472" spans="3:14" x14ac:dyDescent="0.35"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</row>
    <row r="2473" spans="3:14" x14ac:dyDescent="0.35"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</row>
    <row r="2474" spans="3:14" x14ac:dyDescent="0.35"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</row>
    <row r="2475" spans="3:14" x14ac:dyDescent="0.35"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</row>
    <row r="2476" spans="3:14" x14ac:dyDescent="0.35"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</row>
    <row r="2477" spans="3:14" x14ac:dyDescent="0.35"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</row>
    <row r="2478" spans="3:14" x14ac:dyDescent="0.35"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</row>
    <row r="2479" spans="3:14" x14ac:dyDescent="0.35"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</row>
    <row r="2480" spans="3:14" x14ac:dyDescent="0.35"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</row>
    <row r="2481" spans="3:14" x14ac:dyDescent="0.35"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</row>
    <row r="2482" spans="3:14" x14ac:dyDescent="0.35"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</row>
    <row r="2483" spans="3:14" x14ac:dyDescent="0.35"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</row>
    <row r="2484" spans="3:14" x14ac:dyDescent="0.35"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</row>
    <row r="2485" spans="3:14" x14ac:dyDescent="0.35"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</row>
    <row r="2486" spans="3:14" x14ac:dyDescent="0.35"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</row>
    <row r="2487" spans="3:14" x14ac:dyDescent="0.35"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</row>
    <row r="2488" spans="3:14" x14ac:dyDescent="0.35"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</row>
    <row r="2489" spans="3:14" x14ac:dyDescent="0.35"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</row>
    <row r="2490" spans="3:14" x14ac:dyDescent="0.35"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</row>
    <row r="2491" spans="3:14" x14ac:dyDescent="0.35"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</row>
    <row r="2492" spans="3:14" x14ac:dyDescent="0.35"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</row>
    <row r="2493" spans="3:14" x14ac:dyDescent="0.35"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</row>
    <row r="2494" spans="3:14" x14ac:dyDescent="0.35"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</row>
    <row r="2495" spans="3:14" x14ac:dyDescent="0.35"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</row>
    <row r="2496" spans="3:14" x14ac:dyDescent="0.35"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</row>
    <row r="2497" spans="3:14" x14ac:dyDescent="0.35"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</row>
    <row r="2498" spans="3:14" x14ac:dyDescent="0.35"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</row>
    <row r="2499" spans="3:14" x14ac:dyDescent="0.35"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</row>
    <row r="2500" spans="3:14" x14ac:dyDescent="0.35"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</row>
    <row r="2501" spans="3:14" x14ac:dyDescent="0.35"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</row>
    <row r="2502" spans="3:14" x14ac:dyDescent="0.35"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</row>
    <row r="2503" spans="3:14" x14ac:dyDescent="0.35"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</row>
    <row r="2504" spans="3:14" x14ac:dyDescent="0.35"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</row>
    <row r="2505" spans="3:14" x14ac:dyDescent="0.35"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</row>
    <row r="2506" spans="3:14" x14ac:dyDescent="0.35"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</row>
    <row r="2507" spans="3:14" x14ac:dyDescent="0.35"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</row>
    <row r="2508" spans="3:14" x14ac:dyDescent="0.35"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</row>
    <row r="2509" spans="3:14" x14ac:dyDescent="0.35"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</row>
    <row r="2510" spans="3:14" x14ac:dyDescent="0.35"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</row>
    <row r="2511" spans="3:14" x14ac:dyDescent="0.35"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</row>
    <row r="2512" spans="3:14" x14ac:dyDescent="0.35"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</row>
    <row r="2513" spans="3:14" x14ac:dyDescent="0.35"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</row>
    <row r="2514" spans="3:14" x14ac:dyDescent="0.35"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</row>
    <row r="2515" spans="3:14" x14ac:dyDescent="0.35"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</row>
    <row r="2516" spans="3:14" x14ac:dyDescent="0.35"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</row>
    <row r="2517" spans="3:14" x14ac:dyDescent="0.35"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</row>
    <row r="2518" spans="3:14" x14ac:dyDescent="0.35"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</row>
    <row r="2519" spans="3:14" x14ac:dyDescent="0.35"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</row>
    <row r="2520" spans="3:14" x14ac:dyDescent="0.35"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</row>
    <row r="2521" spans="3:14" x14ac:dyDescent="0.35"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</row>
    <row r="2522" spans="3:14" x14ac:dyDescent="0.35"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</row>
    <row r="2523" spans="3:14" x14ac:dyDescent="0.35"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</row>
    <row r="2524" spans="3:14" x14ac:dyDescent="0.35"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</row>
    <row r="2525" spans="3:14" x14ac:dyDescent="0.35"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</row>
    <row r="2526" spans="3:14" x14ac:dyDescent="0.35"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</row>
    <row r="2527" spans="3:14" x14ac:dyDescent="0.35"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</row>
    <row r="2528" spans="3:14" x14ac:dyDescent="0.35"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</row>
    <row r="2529" spans="3:14" x14ac:dyDescent="0.35"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</row>
    <row r="2530" spans="3:14" x14ac:dyDescent="0.35"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</row>
    <row r="2531" spans="3:14" x14ac:dyDescent="0.35"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</row>
    <row r="2532" spans="3:14" x14ac:dyDescent="0.35"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</row>
    <row r="2533" spans="3:14" x14ac:dyDescent="0.35"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</row>
    <row r="2534" spans="3:14" x14ac:dyDescent="0.35"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</row>
    <row r="2535" spans="3:14" x14ac:dyDescent="0.35"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</row>
    <row r="2536" spans="3:14" x14ac:dyDescent="0.35"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</row>
    <row r="2537" spans="3:14" x14ac:dyDescent="0.35"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</row>
    <row r="2538" spans="3:14" x14ac:dyDescent="0.35"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</row>
    <row r="2539" spans="3:14" x14ac:dyDescent="0.35"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</row>
    <row r="2540" spans="3:14" x14ac:dyDescent="0.35"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</row>
    <row r="2541" spans="3:14" x14ac:dyDescent="0.35"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</row>
    <row r="2542" spans="3:14" x14ac:dyDescent="0.35"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</row>
    <row r="2543" spans="3:14" x14ac:dyDescent="0.35"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</row>
    <row r="2544" spans="3:14" x14ac:dyDescent="0.35"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</row>
    <row r="2545" spans="3:14" x14ac:dyDescent="0.35"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</row>
    <row r="2546" spans="3:14" x14ac:dyDescent="0.35"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</row>
    <row r="2547" spans="3:14" x14ac:dyDescent="0.35"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</row>
    <row r="2548" spans="3:14" x14ac:dyDescent="0.35"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</row>
    <row r="2549" spans="3:14" x14ac:dyDescent="0.35"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</row>
    <row r="2550" spans="3:14" x14ac:dyDescent="0.35"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</row>
    <row r="2551" spans="3:14" x14ac:dyDescent="0.35"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</row>
    <row r="2552" spans="3:14" x14ac:dyDescent="0.35"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</row>
    <row r="2553" spans="3:14" x14ac:dyDescent="0.35"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</row>
    <row r="2554" spans="3:14" x14ac:dyDescent="0.35"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</row>
    <row r="2555" spans="3:14" x14ac:dyDescent="0.35"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</row>
    <row r="2556" spans="3:14" x14ac:dyDescent="0.35"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</row>
    <row r="2557" spans="3:14" x14ac:dyDescent="0.35"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</row>
    <row r="2558" spans="3:14" x14ac:dyDescent="0.35"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</row>
    <row r="2559" spans="3:14" x14ac:dyDescent="0.35"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</row>
    <row r="2560" spans="3:14" x14ac:dyDescent="0.35"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</row>
    <row r="2561" spans="3:14" x14ac:dyDescent="0.35"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</row>
    <row r="2562" spans="3:14" x14ac:dyDescent="0.35"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</row>
    <row r="2563" spans="3:14" x14ac:dyDescent="0.35"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</row>
    <row r="2564" spans="3:14" x14ac:dyDescent="0.35"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</row>
    <row r="2565" spans="3:14" x14ac:dyDescent="0.35"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</row>
    <row r="2566" spans="3:14" x14ac:dyDescent="0.35"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</row>
    <row r="2567" spans="3:14" x14ac:dyDescent="0.35"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</row>
    <row r="2568" spans="3:14" x14ac:dyDescent="0.35"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</row>
    <row r="2569" spans="3:14" x14ac:dyDescent="0.35"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</row>
    <row r="2570" spans="3:14" x14ac:dyDescent="0.35"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</row>
    <row r="2571" spans="3:14" x14ac:dyDescent="0.35"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</row>
    <row r="2572" spans="3:14" x14ac:dyDescent="0.35"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</row>
    <row r="2573" spans="3:14" x14ac:dyDescent="0.35"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</row>
    <row r="2574" spans="3:14" x14ac:dyDescent="0.35"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</row>
    <row r="2575" spans="3:14" x14ac:dyDescent="0.35"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</row>
    <row r="2576" spans="3:14" x14ac:dyDescent="0.35"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</row>
    <row r="2577" spans="3:14" x14ac:dyDescent="0.35"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</row>
    <row r="2578" spans="3:14" x14ac:dyDescent="0.35"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</row>
    <row r="2579" spans="3:14" x14ac:dyDescent="0.35"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</row>
    <row r="2580" spans="3:14" x14ac:dyDescent="0.35"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</row>
    <row r="2581" spans="3:14" x14ac:dyDescent="0.35"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</row>
    <row r="2582" spans="3:14" x14ac:dyDescent="0.35"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</row>
    <row r="2583" spans="3:14" x14ac:dyDescent="0.35"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</row>
    <row r="2584" spans="3:14" x14ac:dyDescent="0.35"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</row>
    <row r="2585" spans="3:14" x14ac:dyDescent="0.35"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</row>
    <row r="2586" spans="3:14" x14ac:dyDescent="0.35"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</row>
    <row r="2587" spans="3:14" x14ac:dyDescent="0.35"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</row>
    <row r="2588" spans="3:14" x14ac:dyDescent="0.35"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</row>
    <row r="2589" spans="3:14" x14ac:dyDescent="0.35"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</row>
    <row r="2590" spans="3:14" x14ac:dyDescent="0.35"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</row>
    <row r="2591" spans="3:14" x14ac:dyDescent="0.35"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</row>
    <row r="2592" spans="3:14" x14ac:dyDescent="0.35"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</row>
    <row r="2593" spans="3:14" x14ac:dyDescent="0.35"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</row>
    <row r="2594" spans="3:14" x14ac:dyDescent="0.35"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</row>
    <row r="2595" spans="3:14" x14ac:dyDescent="0.35"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</row>
    <row r="2596" spans="3:14" x14ac:dyDescent="0.35"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</row>
    <row r="2597" spans="3:14" x14ac:dyDescent="0.35"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</row>
    <row r="2598" spans="3:14" x14ac:dyDescent="0.35"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</row>
    <row r="2599" spans="3:14" x14ac:dyDescent="0.35"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</row>
    <row r="2600" spans="3:14" x14ac:dyDescent="0.35"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</row>
    <row r="2601" spans="3:14" x14ac:dyDescent="0.35"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</row>
    <row r="2602" spans="3:14" x14ac:dyDescent="0.35"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</row>
    <row r="2603" spans="3:14" x14ac:dyDescent="0.35"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</row>
    <row r="2604" spans="3:14" x14ac:dyDescent="0.35"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</row>
    <row r="2605" spans="3:14" x14ac:dyDescent="0.35"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</row>
    <row r="2606" spans="3:14" x14ac:dyDescent="0.35"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</row>
    <row r="2607" spans="3:14" x14ac:dyDescent="0.35"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</row>
    <row r="2608" spans="3:14" x14ac:dyDescent="0.35"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</row>
    <row r="2609" spans="3:14" x14ac:dyDescent="0.35"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</row>
    <row r="2610" spans="3:14" x14ac:dyDescent="0.35"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</row>
    <row r="2611" spans="3:14" x14ac:dyDescent="0.35"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</row>
    <row r="2612" spans="3:14" x14ac:dyDescent="0.35"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</row>
    <row r="2613" spans="3:14" x14ac:dyDescent="0.35"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</row>
    <row r="2614" spans="3:14" x14ac:dyDescent="0.35"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</row>
    <row r="2615" spans="3:14" x14ac:dyDescent="0.35"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</row>
    <row r="2616" spans="3:14" x14ac:dyDescent="0.35"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</row>
    <row r="2617" spans="3:14" x14ac:dyDescent="0.35"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</row>
    <row r="2618" spans="3:14" x14ac:dyDescent="0.35">
      <c r="C2618" s="1"/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</row>
    <row r="2619" spans="3:14" x14ac:dyDescent="0.35">
      <c r="C2619" s="1"/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</row>
    <row r="2620" spans="3:14" x14ac:dyDescent="0.35">
      <c r="C2620" s="1"/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</row>
    <row r="2621" spans="3:14" x14ac:dyDescent="0.35">
      <c r="C2621" s="1"/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</row>
    <row r="2622" spans="3:14" x14ac:dyDescent="0.35">
      <c r="C2622" s="1"/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</row>
    <row r="2623" spans="3:14" x14ac:dyDescent="0.35">
      <c r="C2623" s="1"/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</row>
    <row r="2624" spans="3:14" x14ac:dyDescent="0.35">
      <c r="C2624" s="1"/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</row>
    <row r="2625" spans="3:14" x14ac:dyDescent="0.35">
      <c r="C2625" s="1"/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</row>
    <row r="2626" spans="3:14" x14ac:dyDescent="0.35">
      <c r="C2626" s="1"/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</row>
    <row r="2627" spans="3:14" x14ac:dyDescent="0.35">
      <c r="C2627" s="1"/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</row>
    <row r="2628" spans="3:14" x14ac:dyDescent="0.35"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</row>
    <row r="2629" spans="3:14" x14ac:dyDescent="0.35"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</row>
    <row r="2630" spans="3:14" x14ac:dyDescent="0.35">
      <c r="C2630" s="1"/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</row>
    <row r="2631" spans="3:14" x14ac:dyDescent="0.35">
      <c r="C2631" s="1"/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</row>
    <row r="2632" spans="3:14" x14ac:dyDescent="0.35">
      <c r="C2632" s="1"/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</row>
    <row r="2633" spans="3:14" x14ac:dyDescent="0.35">
      <c r="C2633" s="1"/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</row>
    <row r="2634" spans="3:14" x14ac:dyDescent="0.35">
      <c r="C2634" s="1"/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</row>
    <row r="2635" spans="3:14" x14ac:dyDescent="0.35"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</row>
    <row r="2636" spans="3:14" x14ac:dyDescent="0.35"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</row>
    <row r="2637" spans="3:14" x14ac:dyDescent="0.35">
      <c r="C2637" s="1"/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</row>
    <row r="2638" spans="3:14" x14ac:dyDescent="0.35">
      <c r="C2638" s="1"/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</row>
    <row r="2639" spans="3:14" x14ac:dyDescent="0.35">
      <c r="C2639" s="1"/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</row>
    <row r="2640" spans="3:14" x14ac:dyDescent="0.35">
      <c r="C2640" s="1"/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</row>
    <row r="2641" spans="3:14" x14ac:dyDescent="0.35">
      <c r="C2641" s="1"/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</row>
    <row r="2642" spans="3:14" x14ac:dyDescent="0.35"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</row>
    <row r="2643" spans="3:14" x14ac:dyDescent="0.35">
      <c r="C2643" s="1"/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</row>
    <row r="2644" spans="3:14" x14ac:dyDescent="0.35"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</row>
    <row r="2645" spans="3:14" x14ac:dyDescent="0.35">
      <c r="C2645" s="1"/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</row>
    <row r="2646" spans="3:14" x14ac:dyDescent="0.35">
      <c r="C2646" s="1"/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</row>
    <row r="2647" spans="3:14" x14ac:dyDescent="0.35">
      <c r="C2647" s="1"/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</row>
    <row r="2648" spans="3:14" x14ac:dyDescent="0.35">
      <c r="C2648" s="1"/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</row>
    <row r="2649" spans="3:14" x14ac:dyDescent="0.35">
      <c r="C2649" s="1"/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</row>
    <row r="2650" spans="3:14" x14ac:dyDescent="0.35">
      <c r="C2650" s="1"/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</row>
    <row r="2651" spans="3:14" x14ac:dyDescent="0.35">
      <c r="C2651" s="1"/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</row>
    <row r="2652" spans="3:14" x14ac:dyDescent="0.35">
      <c r="C2652" s="1"/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</row>
    <row r="2653" spans="3:14" x14ac:dyDescent="0.35">
      <c r="C2653" s="1"/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</row>
    <row r="2654" spans="3:14" x14ac:dyDescent="0.35">
      <c r="C2654" s="1"/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</row>
    <row r="2655" spans="3:14" x14ac:dyDescent="0.35">
      <c r="C2655" s="1"/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</row>
    <row r="2656" spans="3:14" x14ac:dyDescent="0.35">
      <c r="C2656" s="1"/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</row>
    <row r="2657" spans="3:14" x14ac:dyDescent="0.35">
      <c r="C2657" s="1"/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</row>
    <row r="2658" spans="3:14" x14ac:dyDescent="0.35"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</row>
    <row r="2659" spans="3:14" x14ac:dyDescent="0.35"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</row>
    <row r="2660" spans="3:14" x14ac:dyDescent="0.35">
      <c r="C2660" s="1"/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</row>
    <row r="2661" spans="3:14" x14ac:dyDescent="0.35">
      <c r="C2661" s="1"/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</row>
    <row r="2662" spans="3:14" x14ac:dyDescent="0.35">
      <c r="C2662" s="1"/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</row>
    <row r="2663" spans="3:14" x14ac:dyDescent="0.35">
      <c r="C2663" s="1"/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</row>
    <row r="2664" spans="3:14" x14ac:dyDescent="0.35">
      <c r="C2664" s="1"/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</row>
    <row r="2665" spans="3:14" x14ac:dyDescent="0.35">
      <c r="C2665" s="1"/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</row>
    <row r="2666" spans="3:14" x14ac:dyDescent="0.35">
      <c r="C2666" s="1"/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</row>
    <row r="2667" spans="3:14" x14ac:dyDescent="0.35"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</row>
    <row r="2668" spans="3:14" x14ac:dyDescent="0.35">
      <c r="C2668" s="1"/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</row>
    <row r="2669" spans="3:14" x14ac:dyDescent="0.35">
      <c r="C2669" s="1"/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</row>
    <row r="2670" spans="3:14" x14ac:dyDescent="0.35">
      <c r="C2670" s="1"/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</row>
    <row r="2671" spans="3:14" x14ac:dyDescent="0.35">
      <c r="C2671" s="1"/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</row>
    <row r="2672" spans="3:14" x14ac:dyDescent="0.35">
      <c r="C2672" s="1"/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</row>
    <row r="2673" spans="3:14" x14ac:dyDescent="0.35">
      <c r="C2673" s="1"/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</row>
    <row r="2674" spans="3:14" x14ac:dyDescent="0.35">
      <c r="C2674" s="1"/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</row>
    <row r="2675" spans="3:14" x14ac:dyDescent="0.35">
      <c r="C2675" s="1"/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</row>
    <row r="2676" spans="3:14" x14ac:dyDescent="0.35">
      <c r="C2676" s="1"/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</row>
    <row r="2677" spans="3:14" x14ac:dyDescent="0.35">
      <c r="C2677" s="1"/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</row>
    <row r="2678" spans="3:14" x14ac:dyDescent="0.35">
      <c r="C2678" s="1"/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</row>
    <row r="2679" spans="3:14" x14ac:dyDescent="0.35">
      <c r="C2679" s="1"/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</row>
    <row r="2680" spans="3:14" x14ac:dyDescent="0.35">
      <c r="C2680" s="1"/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</row>
    <row r="2681" spans="3:14" x14ac:dyDescent="0.35">
      <c r="C2681" s="1"/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</row>
    <row r="2682" spans="3:14" x14ac:dyDescent="0.35">
      <c r="C2682" s="1"/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</row>
    <row r="2683" spans="3:14" x14ac:dyDescent="0.35">
      <c r="C2683" s="1"/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</row>
    <row r="2684" spans="3:14" x14ac:dyDescent="0.35"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</row>
    <row r="2685" spans="3:14" x14ac:dyDescent="0.35">
      <c r="C2685" s="1"/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</row>
    <row r="2686" spans="3:14" x14ac:dyDescent="0.35">
      <c r="C2686" s="1"/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</row>
    <row r="2687" spans="3:14" x14ac:dyDescent="0.35">
      <c r="C2687" s="1"/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</row>
    <row r="2688" spans="3:14" x14ac:dyDescent="0.35">
      <c r="C2688" s="1"/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</row>
    <row r="2689" spans="3:14" x14ac:dyDescent="0.35">
      <c r="C2689" s="1"/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</row>
    <row r="2690" spans="3:14" x14ac:dyDescent="0.35">
      <c r="C2690" s="1"/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</row>
    <row r="2691" spans="3:14" x14ac:dyDescent="0.35">
      <c r="C2691" s="1"/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</row>
    <row r="2692" spans="3:14" x14ac:dyDescent="0.35">
      <c r="C2692" s="1"/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</row>
    <row r="2693" spans="3:14" x14ac:dyDescent="0.35">
      <c r="C2693" s="1"/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</row>
    <row r="2694" spans="3:14" x14ac:dyDescent="0.35">
      <c r="C2694" s="1"/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</row>
    <row r="2695" spans="3:14" x14ac:dyDescent="0.35">
      <c r="C2695" s="1"/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</row>
    <row r="2696" spans="3:14" x14ac:dyDescent="0.35">
      <c r="C2696" s="1"/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</row>
    <row r="2697" spans="3:14" x14ac:dyDescent="0.35">
      <c r="C2697" s="1"/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</row>
    <row r="2698" spans="3:14" x14ac:dyDescent="0.35">
      <c r="C2698" s="1"/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</row>
    <row r="2699" spans="3:14" x14ac:dyDescent="0.35">
      <c r="C2699" s="1"/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</row>
    <row r="2700" spans="3:14" x14ac:dyDescent="0.35">
      <c r="C2700" s="1"/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</row>
    <row r="2701" spans="3:14" x14ac:dyDescent="0.35">
      <c r="C2701" s="1"/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</row>
    <row r="2702" spans="3:14" x14ac:dyDescent="0.35">
      <c r="C2702" s="1"/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</row>
    <row r="2703" spans="3:14" x14ac:dyDescent="0.35">
      <c r="C2703" s="1"/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</row>
    <row r="2704" spans="3:14" x14ac:dyDescent="0.35">
      <c r="C2704" s="1"/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</row>
    <row r="2705" spans="3:14" x14ac:dyDescent="0.35">
      <c r="C2705" s="1"/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</row>
    <row r="2706" spans="3:14" x14ac:dyDescent="0.35">
      <c r="C2706" s="1"/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</row>
    <row r="2707" spans="3:14" x14ac:dyDescent="0.35"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</row>
    <row r="2708" spans="3:14" x14ac:dyDescent="0.35">
      <c r="C2708" s="1"/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</row>
    <row r="2709" spans="3:14" x14ac:dyDescent="0.35">
      <c r="C2709" s="1"/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</row>
    <row r="2710" spans="3:14" x14ac:dyDescent="0.35">
      <c r="C2710" s="1"/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</row>
    <row r="2711" spans="3:14" x14ac:dyDescent="0.35">
      <c r="C2711" s="1"/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</row>
    <row r="2712" spans="3:14" x14ac:dyDescent="0.35">
      <c r="C2712" s="1"/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</row>
    <row r="2713" spans="3:14" x14ac:dyDescent="0.35">
      <c r="C2713" s="1"/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</row>
    <row r="2714" spans="3:14" x14ac:dyDescent="0.35">
      <c r="C2714" s="1"/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</row>
    <row r="2715" spans="3:14" x14ac:dyDescent="0.35">
      <c r="C2715" s="1"/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</row>
    <row r="2716" spans="3:14" x14ac:dyDescent="0.35">
      <c r="C2716" s="1"/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</row>
    <row r="2717" spans="3:14" x14ac:dyDescent="0.35">
      <c r="C2717" s="1"/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</row>
    <row r="2718" spans="3:14" x14ac:dyDescent="0.35">
      <c r="C2718" s="1"/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</row>
    <row r="2719" spans="3:14" x14ac:dyDescent="0.35">
      <c r="C2719" s="1"/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</row>
    <row r="2720" spans="3:14" x14ac:dyDescent="0.35">
      <c r="C2720" s="1"/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</row>
    <row r="2721" spans="3:14" x14ac:dyDescent="0.35"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</row>
    <row r="2722" spans="3:14" x14ac:dyDescent="0.35">
      <c r="C2722" s="1"/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</row>
    <row r="2723" spans="3:14" x14ac:dyDescent="0.35"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</row>
    <row r="2724" spans="3:14" x14ac:dyDescent="0.35"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</row>
    <row r="2725" spans="3:14" x14ac:dyDescent="0.35"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</row>
    <row r="2726" spans="3:14" x14ac:dyDescent="0.35">
      <c r="C2726" s="1"/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</row>
    <row r="2727" spans="3:14" x14ac:dyDescent="0.35">
      <c r="C2727" s="1"/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</row>
    <row r="2728" spans="3:14" x14ac:dyDescent="0.35">
      <c r="C2728" s="1"/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</row>
    <row r="2729" spans="3:14" x14ac:dyDescent="0.35">
      <c r="C2729" s="1"/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</row>
    <row r="2730" spans="3:14" x14ac:dyDescent="0.35">
      <c r="C2730" s="1"/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</row>
    <row r="2731" spans="3:14" x14ac:dyDescent="0.35"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</row>
    <row r="2732" spans="3:14" x14ac:dyDescent="0.35"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</row>
    <row r="2733" spans="3:14" x14ac:dyDescent="0.35"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</row>
    <row r="2734" spans="3:14" x14ac:dyDescent="0.35">
      <c r="C2734" s="1"/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</row>
    <row r="2735" spans="3:14" x14ac:dyDescent="0.35"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</row>
    <row r="2736" spans="3:14" x14ac:dyDescent="0.35"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</row>
    <row r="2737" spans="3:14" x14ac:dyDescent="0.35"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</row>
    <row r="2738" spans="3:14" x14ac:dyDescent="0.35"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</row>
    <row r="2739" spans="3:14" x14ac:dyDescent="0.35"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</row>
    <row r="2740" spans="3:14" x14ac:dyDescent="0.35"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</row>
    <row r="2741" spans="3:14" x14ac:dyDescent="0.35">
      <c r="C2741" s="1"/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</row>
    <row r="2742" spans="3:14" x14ac:dyDescent="0.35">
      <c r="C2742" s="1"/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</row>
    <row r="2743" spans="3:14" x14ac:dyDescent="0.35">
      <c r="C2743" s="1"/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</row>
    <row r="2744" spans="3:14" x14ac:dyDescent="0.35">
      <c r="C2744" s="1"/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</row>
    <row r="2745" spans="3:14" x14ac:dyDescent="0.35">
      <c r="C2745" s="1"/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</row>
    <row r="2746" spans="3:14" x14ac:dyDescent="0.35">
      <c r="C2746" s="1"/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</row>
    <row r="2747" spans="3:14" x14ac:dyDescent="0.35">
      <c r="C2747" s="1"/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</row>
    <row r="2748" spans="3:14" x14ac:dyDescent="0.35">
      <c r="C2748" s="1"/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</row>
    <row r="2749" spans="3:14" x14ac:dyDescent="0.35">
      <c r="C2749" s="1"/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</row>
    <row r="2750" spans="3:14" x14ac:dyDescent="0.35">
      <c r="C2750" s="1"/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</row>
    <row r="2751" spans="3:14" x14ac:dyDescent="0.35">
      <c r="C2751" s="1"/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</row>
    <row r="2752" spans="3:14" x14ac:dyDescent="0.35">
      <c r="C2752" s="1"/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</row>
    <row r="2753" spans="3:14" x14ac:dyDescent="0.35">
      <c r="C2753" s="1"/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</row>
    <row r="2754" spans="3:14" x14ac:dyDescent="0.35">
      <c r="C2754" s="1"/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</row>
    <row r="2755" spans="3:14" x14ac:dyDescent="0.35">
      <c r="C2755" s="1"/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</row>
    <row r="2756" spans="3:14" x14ac:dyDescent="0.35">
      <c r="C2756" s="1"/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</row>
    <row r="2757" spans="3:14" x14ac:dyDescent="0.35">
      <c r="C2757" s="1"/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</row>
    <row r="2758" spans="3:14" x14ac:dyDescent="0.35">
      <c r="C2758" s="1"/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</row>
    <row r="2759" spans="3:14" x14ac:dyDescent="0.35">
      <c r="C2759" s="1"/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</row>
    <row r="2760" spans="3:14" x14ac:dyDescent="0.35">
      <c r="C2760" s="1"/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</row>
    <row r="2761" spans="3:14" x14ac:dyDescent="0.35">
      <c r="C2761" s="1"/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</row>
    <row r="2762" spans="3:14" x14ac:dyDescent="0.35">
      <c r="C2762" s="1"/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</row>
    <row r="2763" spans="3:14" x14ac:dyDescent="0.35">
      <c r="C2763" s="1"/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</row>
    <row r="2764" spans="3:14" x14ac:dyDescent="0.35">
      <c r="C2764" s="1"/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</row>
    <row r="2765" spans="3:14" x14ac:dyDescent="0.35">
      <c r="C2765" s="1"/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</row>
    <row r="2766" spans="3:14" x14ac:dyDescent="0.35">
      <c r="C2766" s="1"/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</row>
    <row r="2767" spans="3:14" x14ac:dyDescent="0.35">
      <c r="C2767" s="1"/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</row>
    <row r="2768" spans="3:14" x14ac:dyDescent="0.35">
      <c r="C2768" s="1"/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</row>
    <row r="2769" spans="3:14" x14ac:dyDescent="0.35">
      <c r="C2769" s="1"/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</row>
    <row r="2770" spans="3:14" x14ac:dyDescent="0.35">
      <c r="C2770" s="1"/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</row>
    <row r="2771" spans="3:14" x14ac:dyDescent="0.35">
      <c r="C2771" s="1"/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</row>
    <row r="2772" spans="3:14" x14ac:dyDescent="0.35">
      <c r="C2772" s="1"/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</row>
    <row r="2773" spans="3:14" x14ac:dyDescent="0.35">
      <c r="C2773" s="1"/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</row>
    <row r="2774" spans="3:14" x14ac:dyDescent="0.35">
      <c r="C2774" s="1"/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</row>
    <row r="2775" spans="3:14" x14ac:dyDescent="0.35">
      <c r="C2775" s="1"/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</row>
    <row r="2776" spans="3:14" x14ac:dyDescent="0.35">
      <c r="C2776" s="1"/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</row>
    <row r="2777" spans="3:14" x14ac:dyDescent="0.35"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</row>
    <row r="2778" spans="3:14" x14ac:dyDescent="0.35"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</row>
    <row r="2779" spans="3:14" x14ac:dyDescent="0.35"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</row>
    <row r="2780" spans="3:14" x14ac:dyDescent="0.35"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</row>
    <row r="2781" spans="3:14" x14ac:dyDescent="0.35">
      <c r="C2781" s="1"/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</row>
    <row r="2782" spans="3:14" x14ac:dyDescent="0.35">
      <c r="C2782" s="1"/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</row>
    <row r="2783" spans="3:14" x14ac:dyDescent="0.35">
      <c r="C2783" s="1"/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</row>
    <row r="2784" spans="3:14" x14ac:dyDescent="0.35">
      <c r="C2784" s="1"/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</row>
    <row r="2785" spans="3:14" x14ac:dyDescent="0.35">
      <c r="C2785" s="1"/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</row>
    <row r="2786" spans="3:14" x14ac:dyDescent="0.35">
      <c r="C2786" s="1"/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</row>
    <row r="2787" spans="3:14" x14ac:dyDescent="0.35">
      <c r="C2787" s="1"/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</row>
    <row r="2788" spans="3:14" x14ac:dyDescent="0.35">
      <c r="C2788" s="1"/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</row>
    <row r="2789" spans="3:14" x14ac:dyDescent="0.35">
      <c r="C2789" s="1"/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</row>
    <row r="2790" spans="3:14" x14ac:dyDescent="0.35">
      <c r="C2790" s="1"/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</row>
    <row r="2791" spans="3:14" x14ac:dyDescent="0.35">
      <c r="C2791" s="1"/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</row>
    <row r="2792" spans="3:14" x14ac:dyDescent="0.35">
      <c r="C2792" s="1"/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</row>
    <row r="2793" spans="3:14" x14ac:dyDescent="0.35">
      <c r="C2793" s="1"/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</row>
    <row r="2794" spans="3:14" x14ac:dyDescent="0.35">
      <c r="C2794" s="1"/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</row>
    <row r="2795" spans="3:14" x14ac:dyDescent="0.35">
      <c r="C2795" s="1"/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</row>
    <row r="2796" spans="3:14" x14ac:dyDescent="0.35">
      <c r="C2796" s="1"/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</row>
    <row r="2797" spans="3:14" x14ac:dyDescent="0.35"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</row>
    <row r="2798" spans="3:14" x14ac:dyDescent="0.35"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</row>
    <row r="2799" spans="3:14" x14ac:dyDescent="0.35"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</row>
    <row r="2800" spans="3:14" x14ac:dyDescent="0.35"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</row>
    <row r="2801" spans="3:14" x14ac:dyDescent="0.35"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</row>
    <row r="2802" spans="3:14" x14ac:dyDescent="0.35"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</row>
    <row r="2803" spans="3:14" x14ac:dyDescent="0.35"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</row>
    <row r="2804" spans="3:14" x14ac:dyDescent="0.35"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</row>
    <row r="2805" spans="3:14" x14ac:dyDescent="0.35"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</row>
    <row r="2806" spans="3:14" x14ac:dyDescent="0.35"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</row>
    <row r="2807" spans="3:14" x14ac:dyDescent="0.35"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</row>
    <row r="2808" spans="3:14" x14ac:dyDescent="0.35"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</row>
    <row r="2809" spans="3:14" x14ac:dyDescent="0.35"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</row>
    <row r="2810" spans="3:14" x14ac:dyDescent="0.35"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</row>
    <row r="2811" spans="3:14" x14ac:dyDescent="0.35"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</row>
    <row r="2812" spans="3:14" x14ac:dyDescent="0.35"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</row>
    <row r="2813" spans="3:14" x14ac:dyDescent="0.35"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</row>
    <row r="2814" spans="3:14" x14ac:dyDescent="0.35"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</row>
    <row r="2815" spans="3:14" x14ac:dyDescent="0.35"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</row>
    <row r="2816" spans="3:14" x14ac:dyDescent="0.35"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</row>
    <row r="2817" spans="3:14" x14ac:dyDescent="0.35"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</row>
    <row r="2818" spans="3:14" x14ac:dyDescent="0.35"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</row>
    <row r="2819" spans="3:14" x14ac:dyDescent="0.35"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</row>
    <row r="2820" spans="3:14" x14ac:dyDescent="0.35"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</row>
    <row r="2821" spans="3:14" x14ac:dyDescent="0.35"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</row>
    <row r="2822" spans="3:14" x14ac:dyDescent="0.35"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</row>
    <row r="2823" spans="3:14" x14ac:dyDescent="0.35"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</row>
    <row r="2824" spans="3:14" x14ac:dyDescent="0.35"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</row>
    <row r="2825" spans="3:14" x14ac:dyDescent="0.35"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</row>
    <row r="2826" spans="3:14" x14ac:dyDescent="0.35"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</row>
    <row r="2827" spans="3:14" x14ac:dyDescent="0.35"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</row>
    <row r="2828" spans="3:14" x14ac:dyDescent="0.35"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</row>
    <row r="2829" spans="3:14" x14ac:dyDescent="0.35"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</row>
    <row r="2830" spans="3:14" x14ac:dyDescent="0.35"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</row>
    <row r="2831" spans="3:14" x14ac:dyDescent="0.35"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</row>
    <row r="2832" spans="3:14" x14ac:dyDescent="0.35"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</row>
    <row r="2833" spans="3:14" x14ac:dyDescent="0.35"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</row>
    <row r="2834" spans="3:14" x14ac:dyDescent="0.35"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</row>
    <row r="2835" spans="3:14" x14ac:dyDescent="0.35"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</row>
    <row r="2836" spans="3:14" x14ac:dyDescent="0.35"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</row>
    <row r="2837" spans="3:14" x14ac:dyDescent="0.35"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</row>
    <row r="2838" spans="3:14" x14ac:dyDescent="0.35"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</row>
    <row r="2839" spans="3:14" x14ac:dyDescent="0.35"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</row>
    <row r="2840" spans="3:14" x14ac:dyDescent="0.35"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</row>
    <row r="2841" spans="3:14" x14ac:dyDescent="0.35"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</row>
    <row r="2842" spans="3:14" x14ac:dyDescent="0.35"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</row>
    <row r="2843" spans="3:14" x14ac:dyDescent="0.35"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</row>
    <row r="2844" spans="3:14" x14ac:dyDescent="0.35"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</row>
    <row r="2845" spans="3:14" x14ac:dyDescent="0.35"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</row>
    <row r="2846" spans="3:14" x14ac:dyDescent="0.35"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</row>
    <row r="2847" spans="3:14" x14ac:dyDescent="0.35"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</row>
    <row r="2848" spans="3:14" x14ac:dyDescent="0.35"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</row>
    <row r="2849" spans="3:14" x14ac:dyDescent="0.35"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</row>
    <row r="2850" spans="3:14" x14ac:dyDescent="0.35"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</row>
    <row r="2851" spans="3:14" x14ac:dyDescent="0.35"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</row>
    <row r="2852" spans="3:14" x14ac:dyDescent="0.35"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</row>
    <row r="2853" spans="3:14" x14ac:dyDescent="0.35"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</row>
    <row r="2854" spans="3:14" x14ac:dyDescent="0.35"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</row>
    <row r="2855" spans="3:14" x14ac:dyDescent="0.35"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</row>
    <row r="2856" spans="3:14" x14ac:dyDescent="0.35"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</row>
    <row r="2857" spans="3:14" x14ac:dyDescent="0.35"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</row>
    <row r="2858" spans="3:14" x14ac:dyDescent="0.35"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</row>
    <row r="2859" spans="3:14" x14ac:dyDescent="0.35"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</row>
    <row r="2860" spans="3:14" x14ac:dyDescent="0.35"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</row>
    <row r="2861" spans="3:14" x14ac:dyDescent="0.35"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</row>
    <row r="2862" spans="3:14" x14ac:dyDescent="0.35"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</row>
    <row r="2863" spans="3:14" x14ac:dyDescent="0.35"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</row>
    <row r="2864" spans="3:14" x14ac:dyDescent="0.35"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</row>
    <row r="2865" spans="3:14" x14ac:dyDescent="0.35"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</row>
    <row r="2866" spans="3:14" x14ac:dyDescent="0.35"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</row>
    <row r="2867" spans="3:14" x14ac:dyDescent="0.35"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</row>
    <row r="2868" spans="3:14" x14ac:dyDescent="0.35"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</row>
    <row r="2869" spans="3:14" x14ac:dyDescent="0.35"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</row>
    <row r="2870" spans="3:14" x14ac:dyDescent="0.35"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</row>
    <row r="2871" spans="3:14" x14ac:dyDescent="0.35"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</row>
    <row r="2872" spans="3:14" x14ac:dyDescent="0.35"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</row>
    <row r="2873" spans="3:14" x14ac:dyDescent="0.35"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</row>
    <row r="2874" spans="3:14" x14ac:dyDescent="0.35"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</row>
    <row r="2875" spans="3:14" x14ac:dyDescent="0.35"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</row>
    <row r="2876" spans="3:14" x14ac:dyDescent="0.35"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</row>
    <row r="2877" spans="3:14" x14ac:dyDescent="0.35"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</row>
    <row r="2878" spans="3:14" x14ac:dyDescent="0.35"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</row>
    <row r="2879" spans="3:14" x14ac:dyDescent="0.35"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</row>
    <row r="2880" spans="3:14" x14ac:dyDescent="0.35"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</row>
    <row r="2881" spans="3:14" x14ac:dyDescent="0.35"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</row>
    <row r="2882" spans="3:14" x14ac:dyDescent="0.35"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</row>
    <row r="2883" spans="3:14" x14ac:dyDescent="0.35"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</row>
    <row r="2884" spans="3:14" x14ac:dyDescent="0.35"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</row>
    <row r="2885" spans="3:14" x14ac:dyDescent="0.35"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</row>
    <row r="2886" spans="3:14" x14ac:dyDescent="0.35"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</row>
    <row r="2887" spans="3:14" x14ac:dyDescent="0.35"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</row>
    <row r="2888" spans="3:14" x14ac:dyDescent="0.35"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</row>
    <row r="2889" spans="3:14" x14ac:dyDescent="0.35"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</row>
    <row r="2890" spans="3:14" x14ac:dyDescent="0.35"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</row>
    <row r="2891" spans="3:14" x14ac:dyDescent="0.35"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</row>
    <row r="2892" spans="3:14" x14ac:dyDescent="0.35"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</row>
    <row r="2893" spans="3:14" x14ac:dyDescent="0.35"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</row>
    <row r="2894" spans="3:14" x14ac:dyDescent="0.35"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</row>
    <row r="2895" spans="3:14" x14ac:dyDescent="0.35"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</row>
    <row r="2896" spans="3:14" x14ac:dyDescent="0.35"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</row>
    <row r="2897" spans="3:14" x14ac:dyDescent="0.35"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</row>
    <row r="2898" spans="3:14" x14ac:dyDescent="0.35"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</row>
    <row r="2899" spans="3:14" x14ac:dyDescent="0.35"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</row>
    <row r="2900" spans="3:14" x14ac:dyDescent="0.35"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</row>
    <row r="2901" spans="3:14" x14ac:dyDescent="0.35"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</row>
    <row r="2902" spans="3:14" x14ac:dyDescent="0.35"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</row>
    <row r="2903" spans="3:14" x14ac:dyDescent="0.35"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</row>
    <row r="2904" spans="3:14" x14ac:dyDescent="0.35"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</row>
    <row r="2905" spans="3:14" x14ac:dyDescent="0.35"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</row>
    <row r="2906" spans="3:14" x14ac:dyDescent="0.35"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</row>
    <row r="2907" spans="3:14" x14ac:dyDescent="0.35"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</row>
    <row r="2908" spans="3:14" x14ac:dyDescent="0.35"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</row>
    <row r="2909" spans="3:14" x14ac:dyDescent="0.35"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</row>
    <row r="2910" spans="3:14" x14ac:dyDescent="0.35"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</row>
    <row r="2911" spans="3:14" x14ac:dyDescent="0.35"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</row>
    <row r="2912" spans="3:14" x14ac:dyDescent="0.35"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</row>
    <row r="2913" spans="3:14" x14ac:dyDescent="0.35"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</row>
    <row r="2914" spans="3:14" x14ac:dyDescent="0.35"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</row>
    <row r="2915" spans="3:14" x14ac:dyDescent="0.35"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</row>
    <row r="2916" spans="3:14" x14ac:dyDescent="0.35"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</row>
    <row r="2917" spans="3:14" x14ac:dyDescent="0.35"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</row>
    <row r="2918" spans="3:14" x14ac:dyDescent="0.35"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</row>
    <row r="2919" spans="3:14" x14ac:dyDescent="0.35"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</row>
    <row r="2920" spans="3:14" x14ac:dyDescent="0.35"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</row>
    <row r="2921" spans="3:14" x14ac:dyDescent="0.35"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</row>
    <row r="2922" spans="3:14" x14ac:dyDescent="0.35"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</row>
    <row r="2923" spans="3:14" x14ac:dyDescent="0.35"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</row>
    <row r="2924" spans="3:14" x14ac:dyDescent="0.35"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</row>
    <row r="2925" spans="3:14" x14ac:dyDescent="0.35"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</row>
    <row r="2926" spans="3:14" x14ac:dyDescent="0.35"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</row>
    <row r="2927" spans="3:14" x14ac:dyDescent="0.35"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</row>
    <row r="2928" spans="3:14" x14ac:dyDescent="0.35"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</row>
    <row r="2929" spans="3:14" x14ac:dyDescent="0.35"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</row>
    <row r="2930" spans="3:14" x14ac:dyDescent="0.35"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</row>
    <row r="2931" spans="3:14" x14ac:dyDescent="0.35"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</row>
    <row r="2932" spans="3:14" x14ac:dyDescent="0.35"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</row>
    <row r="2933" spans="3:14" x14ac:dyDescent="0.35"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</row>
    <row r="2934" spans="3:14" x14ac:dyDescent="0.35"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</row>
    <row r="2935" spans="3:14" x14ac:dyDescent="0.35"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</row>
    <row r="2936" spans="3:14" x14ac:dyDescent="0.35"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</row>
    <row r="2937" spans="3:14" x14ac:dyDescent="0.35"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</row>
    <row r="2938" spans="3:14" x14ac:dyDescent="0.35"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</row>
    <row r="2939" spans="3:14" x14ac:dyDescent="0.35"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</row>
    <row r="2940" spans="3:14" x14ac:dyDescent="0.35"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</row>
    <row r="2941" spans="3:14" x14ac:dyDescent="0.35"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</row>
    <row r="2942" spans="3:14" x14ac:dyDescent="0.35"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</row>
    <row r="2943" spans="3:14" x14ac:dyDescent="0.35"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</row>
    <row r="2944" spans="3:14" x14ac:dyDescent="0.35"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</row>
    <row r="2945" spans="3:14" x14ac:dyDescent="0.35"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</row>
    <row r="2946" spans="3:14" x14ac:dyDescent="0.35"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</row>
    <row r="2947" spans="3:14" x14ac:dyDescent="0.35"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</row>
    <row r="2948" spans="3:14" x14ac:dyDescent="0.35"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</row>
    <row r="2949" spans="3:14" x14ac:dyDescent="0.35"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</row>
    <row r="2950" spans="3:14" x14ac:dyDescent="0.35"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</row>
    <row r="2951" spans="3:14" x14ac:dyDescent="0.35"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</row>
    <row r="2952" spans="3:14" x14ac:dyDescent="0.35"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</row>
    <row r="2953" spans="3:14" x14ac:dyDescent="0.35"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</row>
    <row r="2954" spans="3:14" x14ac:dyDescent="0.35"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</row>
    <row r="2955" spans="3:14" x14ac:dyDescent="0.35"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</row>
    <row r="2956" spans="3:14" x14ac:dyDescent="0.35"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</row>
    <row r="2957" spans="3:14" x14ac:dyDescent="0.35"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</row>
    <row r="2958" spans="3:14" x14ac:dyDescent="0.35"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</row>
    <row r="2959" spans="3:14" x14ac:dyDescent="0.35"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</row>
    <row r="2960" spans="3:14" x14ac:dyDescent="0.35"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</row>
    <row r="2961" spans="3:14" x14ac:dyDescent="0.35"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</row>
    <row r="2962" spans="3:14" x14ac:dyDescent="0.35"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</row>
    <row r="2963" spans="3:14" x14ac:dyDescent="0.35"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</row>
    <row r="2964" spans="3:14" x14ac:dyDescent="0.35"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</row>
    <row r="2965" spans="3:14" x14ac:dyDescent="0.35"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</row>
    <row r="2966" spans="3:14" x14ac:dyDescent="0.35"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</row>
    <row r="2967" spans="3:14" x14ac:dyDescent="0.35"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</row>
    <row r="2968" spans="3:14" x14ac:dyDescent="0.35"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</row>
    <row r="2969" spans="3:14" x14ac:dyDescent="0.35"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</row>
    <row r="2970" spans="3:14" x14ac:dyDescent="0.35"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</row>
    <row r="2971" spans="3:14" x14ac:dyDescent="0.35"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</row>
    <row r="2972" spans="3:14" x14ac:dyDescent="0.35"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</row>
    <row r="2973" spans="3:14" x14ac:dyDescent="0.35"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</row>
    <row r="2974" spans="3:14" x14ac:dyDescent="0.35"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</row>
    <row r="2975" spans="3:14" x14ac:dyDescent="0.35"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</row>
    <row r="2976" spans="3:14" x14ac:dyDescent="0.35"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</row>
    <row r="2977" spans="3:14" x14ac:dyDescent="0.35"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</row>
    <row r="2978" spans="3:14" x14ac:dyDescent="0.35"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</row>
    <row r="2979" spans="3:14" x14ac:dyDescent="0.35"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</row>
    <row r="2980" spans="3:14" x14ac:dyDescent="0.35"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</row>
    <row r="2981" spans="3:14" x14ac:dyDescent="0.35"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</row>
    <row r="2982" spans="3:14" x14ac:dyDescent="0.35"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</row>
    <row r="2983" spans="3:14" x14ac:dyDescent="0.35"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</row>
    <row r="2984" spans="3:14" x14ac:dyDescent="0.35"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</row>
    <row r="2985" spans="3:14" x14ac:dyDescent="0.35"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</row>
    <row r="2986" spans="3:14" x14ac:dyDescent="0.35"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</row>
    <row r="2987" spans="3:14" x14ac:dyDescent="0.35"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</row>
    <row r="2988" spans="3:14" x14ac:dyDescent="0.35"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</row>
    <row r="2989" spans="3:14" x14ac:dyDescent="0.35"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</row>
    <row r="2990" spans="3:14" x14ac:dyDescent="0.35"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</row>
    <row r="2991" spans="3:14" x14ac:dyDescent="0.35"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</row>
    <row r="2992" spans="3:14" x14ac:dyDescent="0.35"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</row>
    <row r="2993" spans="3:14" x14ac:dyDescent="0.35"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</row>
    <row r="2994" spans="3:14" x14ac:dyDescent="0.35"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</row>
    <row r="2995" spans="3:14" x14ac:dyDescent="0.35"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</row>
    <row r="2996" spans="3:14" x14ac:dyDescent="0.35"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</row>
    <row r="2997" spans="3:14" x14ac:dyDescent="0.35"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</row>
    <row r="2998" spans="3:14" x14ac:dyDescent="0.35"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</row>
    <row r="2999" spans="3:14" x14ac:dyDescent="0.35"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</row>
    <row r="3000" spans="3:14" x14ac:dyDescent="0.35"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</row>
    <row r="3001" spans="3:14" x14ac:dyDescent="0.35"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</row>
    <row r="3002" spans="3:14" x14ac:dyDescent="0.35"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</row>
    <row r="3003" spans="3:14" x14ac:dyDescent="0.35"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</row>
    <row r="3004" spans="3:14" x14ac:dyDescent="0.35"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</row>
    <row r="3005" spans="3:14" x14ac:dyDescent="0.35"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</row>
    <row r="3006" spans="3:14" x14ac:dyDescent="0.35"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</row>
    <row r="3007" spans="3:14" x14ac:dyDescent="0.35"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</row>
    <row r="3008" spans="3:14" x14ac:dyDescent="0.35"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</row>
    <row r="3009" spans="3:14" x14ac:dyDescent="0.35"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</row>
    <row r="3010" spans="3:14" x14ac:dyDescent="0.35"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</row>
    <row r="3011" spans="3:14" x14ac:dyDescent="0.35"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</row>
    <row r="3012" spans="3:14" x14ac:dyDescent="0.35"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</row>
    <row r="3013" spans="3:14" x14ac:dyDescent="0.35"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</row>
    <row r="3014" spans="3:14" x14ac:dyDescent="0.35"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</row>
    <row r="3015" spans="3:14" x14ac:dyDescent="0.35"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</row>
    <row r="3016" spans="3:14" x14ac:dyDescent="0.35"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</row>
    <row r="3017" spans="3:14" x14ac:dyDescent="0.35"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</row>
    <row r="3018" spans="3:14" x14ac:dyDescent="0.35"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</row>
    <row r="3019" spans="3:14" x14ac:dyDescent="0.35"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</row>
    <row r="3020" spans="3:14" x14ac:dyDescent="0.35"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</row>
    <row r="3021" spans="3:14" x14ac:dyDescent="0.35"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</row>
    <row r="3022" spans="3:14" x14ac:dyDescent="0.35"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</row>
    <row r="3023" spans="3:14" x14ac:dyDescent="0.35"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</row>
    <row r="3024" spans="3:14" x14ac:dyDescent="0.35"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</row>
    <row r="3025" spans="3:14" x14ac:dyDescent="0.35"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</row>
    <row r="3026" spans="3:14" x14ac:dyDescent="0.35"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</row>
    <row r="3027" spans="3:14" x14ac:dyDescent="0.35"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</row>
    <row r="3028" spans="3:14" x14ac:dyDescent="0.35"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</row>
    <row r="3029" spans="3:14" x14ac:dyDescent="0.35"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</row>
    <row r="3030" spans="3:14" x14ac:dyDescent="0.35"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</row>
    <row r="3031" spans="3:14" x14ac:dyDescent="0.35"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</row>
    <row r="3032" spans="3:14" x14ac:dyDescent="0.35"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</row>
    <row r="3033" spans="3:14" x14ac:dyDescent="0.35"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</row>
    <row r="3034" spans="3:14" x14ac:dyDescent="0.35"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</row>
    <row r="3035" spans="3:14" x14ac:dyDescent="0.35"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</row>
    <row r="3036" spans="3:14" x14ac:dyDescent="0.35"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</row>
    <row r="3037" spans="3:14" x14ac:dyDescent="0.35"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</row>
    <row r="3038" spans="3:14" x14ac:dyDescent="0.35"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</row>
    <row r="3039" spans="3:14" x14ac:dyDescent="0.35"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</row>
    <row r="3040" spans="3:14" x14ac:dyDescent="0.35"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</row>
    <row r="3041" spans="3:14" x14ac:dyDescent="0.35"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</row>
    <row r="3042" spans="3:14" x14ac:dyDescent="0.35"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</row>
    <row r="3043" spans="3:14" x14ac:dyDescent="0.35"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</row>
    <row r="3044" spans="3:14" x14ac:dyDescent="0.35"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</row>
    <row r="3045" spans="3:14" x14ac:dyDescent="0.35"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</row>
    <row r="3046" spans="3:14" x14ac:dyDescent="0.35"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</row>
    <row r="3047" spans="3:14" x14ac:dyDescent="0.35"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</row>
    <row r="3048" spans="3:14" x14ac:dyDescent="0.35"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</row>
    <row r="3049" spans="3:14" x14ac:dyDescent="0.35"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</row>
    <row r="3050" spans="3:14" x14ac:dyDescent="0.35"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</row>
    <row r="3051" spans="3:14" x14ac:dyDescent="0.35"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</row>
    <row r="3052" spans="3:14" x14ac:dyDescent="0.35"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</row>
    <row r="3053" spans="3:14" x14ac:dyDescent="0.35"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</row>
    <row r="3054" spans="3:14" x14ac:dyDescent="0.35"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</row>
    <row r="3055" spans="3:14" x14ac:dyDescent="0.35"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</row>
    <row r="3056" spans="3:14" x14ac:dyDescent="0.35"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</row>
    <row r="3057" spans="3:14" x14ac:dyDescent="0.35"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</row>
    <row r="3058" spans="3:14" x14ac:dyDescent="0.35"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</row>
    <row r="3059" spans="3:14" x14ac:dyDescent="0.35"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</row>
    <row r="3060" spans="3:14" x14ac:dyDescent="0.35"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</row>
    <row r="3061" spans="3:14" x14ac:dyDescent="0.35"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</row>
    <row r="3062" spans="3:14" x14ac:dyDescent="0.35"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</row>
    <row r="3063" spans="3:14" x14ac:dyDescent="0.35"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</row>
    <row r="3064" spans="3:14" x14ac:dyDescent="0.35"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</row>
    <row r="3065" spans="3:14" x14ac:dyDescent="0.35"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</row>
    <row r="3066" spans="3:14" x14ac:dyDescent="0.35"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</row>
    <row r="3067" spans="3:14" x14ac:dyDescent="0.35"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</row>
    <row r="3068" spans="3:14" x14ac:dyDescent="0.35"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</row>
    <row r="3069" spans="3:14" x14ac:dyDescent="0.35"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</row>
    <row r="3070" spans="3:14" x14ac:dyDescent="0.35"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</row>
    <row r="3071" spans="3:14" x14ac:dyDescent="0.35"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</row>
    <row r="3072" spans="3:14" x14ac:dyDescent="0.35"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</row>
    <row r="3073" spans="3:14" x14ac:dyDescent="0.35"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</row>
    <row r="3074" spans="3:14" x14ac:dyDescent="0.35"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</row>
    <row r="3075" spans="3:14" x14ac:dyDescent="0.35"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</row>
    <row r="3076" spans="3:14" x14ac:dyDescent="0.35"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</row>
    <row r="3077" spans="3:14" x14ac:dyDescent="0.35"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</row>
    <row r="3078" spans="3:14" x14ac:dyDescent="0.35"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</row>
    <row r="3079" spans="3:14" x14ac:dyDescent="0.35"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</row>
    <row r="3080" spans="3:14" x14ac:dyDescent="0.35"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</row>
    <row r="3081" spans="3:14" x14ac:dyDescent="0.35"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</row>
    <row r="3082" spans="3:14" x14ac:dyDescent="0.35"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</row>
    <row r="3083" spans="3:14" x14ac:dyDescent="0.35"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</row>
    <row r="3084" spans="3:14" x14ac:dyDescent="0.35"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</row>
    <row r="3085" spans="3:14" x14ac:dyDescent="0.35"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</row>
    <row r="3086" spans="3:14" x14ac:dyDescent="0.35"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</row>
    <row r="3087" spans="3:14" x14ac:dyDescent="0.35"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</row>
    <row r="3088" spans="3:14" x14ac:dyDescent="0.35"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</row>
    <row r="3089" spans="3:14" x14ac:dyDescent="0.35"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</row>
    <row r="3090" spans="3:14" x14ac:dyDescent="0.35"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</row>
    <row r="3091" spans="3:14" x14ac:dyDescent="0.35"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</row>
    <row r="3092" spans="3:14" x14ac:dyDescent="0.35"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</row>
    <row r="3093" spans="3:14" x14ac:dyDescent="0.35"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</row>
    <row r="3094" spans="3:14" x14ac:dyDescent="0.35"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</row>
    <row r="3095" spans="3:14" x14ac:dyDescent="0.35"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</row>
    <row r="3096" spans="3:14" x14ac:dyDescent="0.35"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</row>
    <row r="3097" spans="3:14" x14ac:dyDescent="0.35"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</row>
    <row r="3098" spans="3:14" x14ac:dyDescent="0.35"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</row>
    <row r="3099" spans="3:14" x14ac:dyDescent="0.35"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</row>
    <row r="3100" spans="3:14" x14ac:dyDescent="0.35"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</row>
    <row r="3101" spans="3:14" x14ac:dyDescent="0.35"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</row>
    <row r="3102" spans="3:14" x14ac:dyDescent="0.35"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</row>
    <row r="3103" spans="3:14" x14ac:dyDescent="0.35"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</row>
    <row r="3104" spans="3:14" x14ac:dyDescent="0.35"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</row>
    <row r="3105" spans="3:14" x14ac:dyDescent="0.35"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</row>
    <row r="3106" spans="3:14" x14ac:dyDescent="0.35"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</row>
    <row r="3107" spans="3:14" x14ac:dyDescent="0.35"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</row>
    <row r="3108" spans="3:14" x14ac:dyDescent="0.35"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</row>
    <row r="3109" spans="3:14" x14ac:dyDescent="0.35"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</row>
    <row r="3110" spans="3:14" x14ac:dyDescent="0.35"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</row>
    <row r="3111" spans="3:14" x14ac:dyDescent="0.35"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</row>
    <row r="3112" spans="3:14" x14ac:dyDescent="0.35"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</row>
    <row r="3113" spans="3:14" x14ac:dyDescent="0.35"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</row>
    <row r="3114" spans="3:14" x14ac:dyDescent="0.35"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</row>
    <row r="3115" spans="3:14" x14ac:dyDescent="0.35"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</row>
    <row r="3116" spans="3:14" x14ac:dyDescent="0.35"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</row>
    <row r="3117" spans="3:14" x14ac:dyDescent="0.35"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</row>
    <row r="3118" spans="3:14" x14ac:dyDescent="0.35"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</row>
    <row r="3119" spans="3:14" x14ac:dyDescent="0.35"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</row>
    <row r="3120" spans="3:14" x14ac:dyDescent="0.35"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</row>
    <row r="3121" spans="3:14" x14ac:dyDescent="0.35"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</row>
    <row r="3122" spans="3:14" x14ac:dyDescent="0.35"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</row>
    <row r="3123" spans="3:14" x14ac:dyDescent="0.35"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</row>
    <row r="3124" spans="3:14" x14ac:dyDescent="0.35"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</row>
    <row r="3125" spans="3:14" x14ac:dyDescent="0.35"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</row>
    <row r="3126" spans="3:14" x14ac:dyDescent="0.35"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</row>
    <row r="3127" spans="3:14" x14ac:dyDescent="0.35"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</row>
    <row r="3128" spans="3:14" x14ac:dyDescent="0.35"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</row>
    <row r="3129" spans="3:14" x14ac:dyDescent="0.35"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</row>
    <row r="3130" spans="3:14" x14ac:dyDescent="0.35"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</row>
    <row r="3131" spans="3:14" x14ac:dyDescent="0.35"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</row>
    <row r="3132" spans="3:14" x14ac:dyDescent="0.35"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</row>
    <row r="3133" spans="3:14" x14ac:dyDescent="0.35"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</row>
    <row r="3134" spans="3:14" x14ac:dyDescent="0.35"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</row>
    <row r="3135" spans="3:14" x14ac:dyDescent="0.35"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</row>
    <row r="3136" spans="3:14" x14ac:dyDescent="0.35"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</row>
    <row r="3137" spans="3:14" x14ac:dyDescent="0.35"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</row>
    <row r="3138" spans="3:14" x14ac:dyDescent="0.35"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</row>
    <row r="3139" spans="3:14" x14ac:dyDescent="0.35"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</row>
    <row r="3140" spans="3:14" x14ac:dyDescent="0.35"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</row>
    <row r="3141" spans="3:14" x14ac:dyDescent="0.35"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</row>
    <row r="3142" spans="3:14" x14ac:dyDescent="0.35"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</row>
    <row r="3143" spans="3:14" x14ac:dyDescent="0.35"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</row>
    <row r="3144" spans="3:14" x14ac:dyDescent="0.35"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</row>
    <row r="3145" spans="3:14" x14ac:dyDescent="0.35"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</row>
    <row r="3146" spans="3:14" x14ac:dyDescent="0.35"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</row>
    <row r="3147" spans="3:14" x14ac:dyDescent="0.35"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</row>
    <row r="3148" spans="3:14" x14ac:dyDescent="0.35"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</row>
    <row r="3149" spans="3:14" x14ac:dyDescent="0.35"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</row>
    <row r="3150" spans="3:14" x14ac:dyDescent="0.35"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</row>
    <row r="3151" spans="3:14" x14ac:dyDescent="0.35"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</row>
    <row r="3152" spans="3:14" x14ac:dyDescent="0.35"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</row>
    <row r="3153" spans="3:14" x14ac:dyDescent="0.35"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</row>
    <row r="3154" spans="3:14" x14ac:dyDescent="0.35"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</row>
    <row r="3155" spans="3:14" x14ac:dyDescent="0.35"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</row>
    <row r="3156" spans="3:14" x14ac:dyDescent="0.35"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</row>
    <row r="3157" spans="3:14" x14ac:dyDescent="0.35"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</row>
    <row r="3158" spans="3:14" x14ac:dyDescent="0.35"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</row>
    <row r="3159" spans="3:14" x14ac:dyDescent="0.35"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</row>
    <row r="3160" spans="3:14" x14ac:dyDescent="0.35"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</row>
    <row r="3161" spans="3:14" x14ac:dyDescent="0.35"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</row>
    <row r="3162" spans="3:14" x14ac:dyDescent="0.35"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</row>
    <row r="3163" spans="3:14" x14ac:dyDescent="0.35"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</row>
    <row r="3164" spans="3:14" x14ac:dyDescent="0.35"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</row>
    <row r="3165" spans="3:14" x14ac:dyDescent="0.35"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</row>
    <row r="3166" spans="3:14" x14ac:dyDescent="0.35"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</row>
    <row r="3167" spans="3:14" x14ac:dyDescent="0.35"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</row>
    <row r="3168" spans="3:14" x14ac:dyDescent="0.35"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</row>
    <row r="3169" spans="3:14" x14ac:dyDescent="0.35"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</row>
    <row r="3170" spans="3:14" x14ac:dyDescent="0.35"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</row>
    <row r="3171" spans="3:14" x14ac:dyDescent="0.35"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</row>
    <row r="3172" spans="3:14" x14ac:dyDescent="0.35"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</row>
    <row r="3173" spans="3:14" x14ac:dyDescent="0.35"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</row>
    <row r="3174" spans="3:14" x14ac:dyDescent="0.35"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</row>
    <row r="3175" spans="3:14" x14ac:dyDescent="0.35"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</row>
    <row r="3176" spans="3:14" x14ac:dyDescent="0.35"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</row>
    <row r="3177" spans="3:14" x14ac:dyDescent="0.35"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</row>
    <row r="3178" spans="3:14" x14ac:dyDescent="0.35"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</row>
    <row r="3179" spans="3:14" x14ac:dyDescent="0.35"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</row>
    <row r="3180" spans="3:14" x14ac:dyDescent="0.35"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</row>
    <row r="3181" spans="3:14" x14ac:dyDescent="0.35"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</row>
    <row r="3182" spans="3:14" x14ac:dyDescent="0.35"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</row>
    <row r="3183" spans="3:14" x14ac:dyDescent="0.35"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</row>
    <row r="3184" spans="3:14" x14ac:dyDescent="0.35"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</row>
    <row r="3185" spans="3:14" x14ac:dyDescent="0.35"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</row>
    <row r="3186" spans="3:14" x14ac:dyDescent="0.35"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</row>
    <row r="3187" spans="3:14" x14ac:dyDescent="0.35"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</row>
    <row r="3188" spans="3:14" x14ac:dyDescent="0.35"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</row>
    <row r="3189" spans="3:14" x14ac:dyDescent="0.35"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</row>
    <row r="3190" spans="3:14" x14ac:dyDescent="0.35"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</row>
    <row r="3191" spans="3:14" x14ac:dyDescent="0.35"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</row>
    <row r="3192" spans="3:14" x14ac:dyDescent="0.35"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</row>
    <row r="3193" spans="3:14" x14ac:dyDescent="0.35"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</row>
    <row r="3194" spans="3:14" x14ac:dyDescent="0.35"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</row>
    <row r="3195" spans="3:14" x14ac:dyDescent="0.35"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</row>
    <row r="3196" spans="3:14" x14ac:dyDescent="0.35"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</row>
    <row r="3197" spans="3:14" x14ac:dyDescent="0.35"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</row>
    <row r="3198" spans="3:14" x14ac:dyDescent="0.35"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</row>
    <row r="3199" spans="3:14" x14ac:dyDescent="0.35"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</row>
    <row r="3200" spans="3:14" x14ac:dyDescent="0.35"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</row>
    <row r="3201" spans="3:14" x14ac:dyDescent="0.35"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</row>
    <row r="3202" spans="3:14" x14ac:dyDescent="0.35"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</row>
    <row r="3203" spans="3:14" x14ac:dyDescent="0.35"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</row>
    <row r="3204" spans="3:14" x14ac:dyDescent="0.35"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</row>
    <row r="3205" spans="3:14" x14ac:dyDescent="0.35"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</row>
    <row r="3206" spans="3:14" x14ac:dyDescent="0.35"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</row>
    <row r="3207" spans="3:14" x14ac:dyDescent="0.35"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</row>
    <row r="3208" spans="3:14" x14ac:dyDescent="0.35"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</row>
    <row r="3209" spans="3:14" x14ac:dyDescent="0.35"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</row>
    <row r="3210" spans="3:14" x14ac:dyDescent="0.35"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</row>
    <row r="3211" spans="3:14" x14ac:dyDescent="0.35"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</row>
    <row r="3212" spans="3:14" x14ac:dyDescent="0.35"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</row>
    <row r="3213" spans="3:14" x14ac:dyDescent="0.35"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</row>
    <row r="3214" spans="3:14" x14ac:dyDescent="0.35"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</row>
    <row r="3215" spans="3:14" x14ac:dyDescent="0.35"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</row>
    <row r="3216" spans="3:14" x14ac:dyDescent="0.35"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</row>
    <row r="3217" spans="3:14" x14ac:dyDescent="0.35"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</row>
    <row r="3218" spans="3:14" x14ac:dyDescent="0.35"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</row>
    <row r="3219" spans="3:14" x14ac:dyDescent="0.35"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</row>
    <row r="3220" spans="3:14" x14ac:dyDescent="0.35"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</row>
    <row r="3221" spans="3:14" x14ac:dyDescent="0.35"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</row>
    <row r="3222" spans="3:14" x14ac:dyDescent="0.35"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</row>
    <row r="3223" spans="3:14" x14ac:dyDescent="0.35"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</row>
    <row r="3224" spans="3:14" x14ac:dyDescent="0.35"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</row>
    <row r="3225" spans="3:14" x14ac:dyDescent="0.35"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</row>
    <row r="3226" spans="3:14" x14ac:dyDescent="0.35"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</row>
    <row r="3227" spans="3:14" x14ac:dyDescent="0.35"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</row>
    <row r="3228" spans="3:14" x14ac:dyDescent="0.35"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</row>
    <row r="3229" spans="3:14" x14ac:dyDescent="0.35"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</row>
    <row r="3230" spans="3:14" x14ac:dyDescent="0.35"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</row>
    <row r="3231" spans="3:14" x14ac:dyDescent="0.35"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</row>
    <row r="3232" spans="3:14" x14ac:dyDescent="0.35"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</row>
    <row r="3233" spans="3:14" x14ac:dyDescent="0.35"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</row>
    <row r="3234" spans="3:14" x14ac:dyDescent="0.35"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</row>
    <row r="3235" spans="3:14" x14ac:dyDescent="0.35"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</row>
    <row r="3236" spans="3:14" x14ac:dyDescent="0.35"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</row>
    <row r="3237" spans="3:14" x14ac:dyDescent="0.35"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</row>
    <row r="3238" spans="3:14" x14ac:dyDescent="0.35"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</row>
    <row r="3239" spans="3:14" x14ac:dyDescent="0.35"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</row>
    <row r="3240" spans="3:14" x14ac:dyDescent="0.35"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</row>
    <row r="3241" spans="3:14" x14ac:dyDescent="0.35"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</row>
    <row r="3242" spans="3:14" x14ac:dyDescent="0.35"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</row>
    <row r="3243" spans="3:14" x14ac:dyDescent="0.35"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</row>
    <row r="3244" spans="3:14" x14ac:dyDescent="0.35"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</row>
    <row r="3245" spans="3:14" x14ac:dyDescent="0.35"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</row>
    <row r="3246" spans="3:14" x14ac:dyDescent="0.35"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</row>
    <row r="3247" spans="3:14" x14ac:dyDescent="0.35"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</row>
    <row r="3248" spans="3:14" x14ac:dyDescent="0.35"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</row>
    <row r="3249" spans="3:14" x14ac:dyDescent="0.35"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</row>
    <row r="3250" spans="3:14" x14ac:dyDescent="0.35"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</row>
    <row r="3251" spans="3:14" x14ac:dyDescent="0.35"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</row>
    <row r="3252" spans="3:14" x14ac:dyDescent="0.35"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</row>
    <row r="3253" spans="3:14" x14ac:dyDescent="0.35"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</row>
    <row r="3254" spans="3:14" x14ac:dyDescent="0.35"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</row>
    <row r="3255" spans="3:14" x14ac:dyDescent="0.35"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</row>
    <row r="3256" spans="3:14" x14ac:dyDescent="0.35"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</row>
    <row r="3257" spans="3:14" x14ac:dyDescent="0.35"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</row>
    <row r="3258" spans="3:14" x14ac:dyDescent="0.35"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</row>
    <row r="3259" spans="3:14" x14ac:dyDescent="0.35"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</row>
    <row r="3260" spans="3:14" x14ac:dyDescent="0.35"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</row>
    <row r="3261" spans="3:14" x14ac:dyDescent="0.35"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</row>
    <row r="3262" spans="3:14" x14ac:dyDescent="0.35"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</row>
    <row r="3263" spans="3:14" x14ac:dyDescent="0.35"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</row>
    <row r="3264" spans="3:14" x14ac:dyDescent="0.35"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</row>
    <row r="3265" spans="3:14" x14ac:dyDescent="0.35"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</row>
    <row r="3266" spans="3:14" x14ac:dyDescent="0.35"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</row>
    <row r="3267" spans="3:14" x14ac:dyDescent="0.35"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</row>
    <row r="3268" spans="3:14" x14ac:dyDescent="0.35"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</row>
    <row r="3269" spans="3:14" x14ac:dyDescent="0.35"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</row>
    <row r="3270" spans="3:14" x14ac:dyDescent="0.35"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</row>
    <row r="3271" spans="3:14" x14ac:dyDescent="0.35"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</row>
    <row r="3272" spans="3:14" x14ac:dyDescent="0.35"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</row>
    <row r="3273" spans="3:14" x14ac:dyDescent="0.35"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</row>
    <row r="3274" spans="3:14" x14ac:dyDescent="0.35"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</row>
    <row r="3275" spans="3:14" x14ac:dyDescent="0.35"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</row>
    <row r="3276" spans="3:14" x14ac:dyDescent="0.35"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</row>
    <row r="3277" spans="3:14" x14ac:dyDescent="0.35"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</row>
    <row r="3278" spans="3:14" x14ac:dyDescent="0.35"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</row>
    <row r="3279" spans="3:14" x14ac:dyDescent="0.35"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</row>
    <row r="3280" spans="3:14" x14ac:dyDescent="0.35"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</row>
    <row r="3281" spans="3:14" x14ac:dyDescent="0.35"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</row>
    <row r="3282" spans="3:14" x14ac:dyDescent="0.35"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</row>
    <row r="3283" spans="3:14" x14ac:dyDescent="0.35"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</row>
    <row r="3284" spans="3:14" x14ac:dyDescent="0.35"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</row>
    <row r="3285" spans="3:14" x14ac:dyDescent="0.35"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</row>
    <row r="3286" spans="3:14" x14ac:dyDescent="0.35"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</row>
    <row r="3287" spans="3:14" x14ac:dyDescent="0.35"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</row>
    <row r="3288" spans="3:14" x14ac:dyDescent="0.35"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</row>
    <row r="3289" spans="3:14" x14ac:dyDescent="0.35"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</row>
    <row r="3290" spans="3:14" x14ac:dyDescent="0.35"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</row>
    <row r="3291" spans="3:14" x14ac:dyDescent="0.35"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</row>
    <row r="3292" spans="3:14" x14ac:dyDescent="0.35"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</row>
    <row r="3293" spans="3:14" x14ac:dyDescent="0.35"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</row>
    <row r="3294" spans="3:14" x14ac:dyDescent="0.35"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</row>
    <row r="3295" spans="3:14" x14ac:dyDescent="0.35"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</row>
    <row r="3296" spans="3:14" x14ac:dyDescent="0.35"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</row>
    <row r="3297" spans="3:14" x14ac:dyDescent="0.35"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</row>
    <row r="3298" spans="3:14" x14ac:dyDescent="0.35"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</row>
    <row r="3299" spans="3:14" x14ac:dyDescent="0.35"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</row>
    <row r="3300" spans="3:14" x14ac:dyDescent="0.35"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</row>
    <row r="3301" spans="3:14" x14ac:dyDescent="0.35"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</row>
    <row r="3302" spans="3:14" x14ac:dyDescent="0.35"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</row>
    <row r="3303" spans="3:14" x14ac:dyDescent="0.35"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</row>
    <row r="3304" spans="3:14" x14ac:dyDescent="0.35"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</row>
    <row r="3305" spans="3:14" x14ac:dyDescent="0.35"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</row>
    <row r="3306" spans="3:14" x14ac:dyDescent="0.35"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</row>
    <row r="3307" spans="3:14" x14ac:dyDescent="0.35"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</row>
    <row r="3308" spans="3:14" x14ac:dyDescent="0.35"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</row>
    <row r="3309" spans="3:14" x14ac:dyDescent="0.35"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</row>
    <row r="3310" spans="3:14" x14ac:dyDescent="0.35"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</row>
    <row r="3311" spans="3:14" x14ac:dyDescent="0.35"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</row>
    <row r="3312" spans="3:14" x14ac:dyDescent="0.35"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</row>
    <row r="3313" spans="3:14" x14ac:dyDescent="0.35"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</row>
    <row r="3314" spans="3:14" x14ac:dyDescent="0.35"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</row>
    <row r="3315" spans="3:14" x14ac:dyDescent="0.35"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</row>
    <row r="3316" spans="3:14" x14ac:dyDescent="0.35"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</row>
    <row r="3317" spans="3:14" x14ac:dyDescent="0.35"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</row>
    <row r="3318" spans="3:14" x14ac:dyDescent="0.35"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</row>
    <row r="3319" spans="3:14" x14ac:dyDescent="0.35"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</row>
    <row r="3320" spans="3:14" x14ac:dyDescent="0.35"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</row>
    <row r="3321" spans="3:14" x14ac:dyDescent="0.35"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</row>
    <row r="3322" spans="3:14" x14ac:dyDescent="0.35"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</row>
    <row r="3323" spans="3:14" x14ac:dyDescent="0.35"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</row>
    <row r="3324" spans="3:14" x14ac:dyDescent="0.35"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</row>
    <row r="3325" spans="3:14" x14ac:dyDescent="0.35"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</row>
    <row r="3326" spans="3:14" x14ac:dyDescent="0.35"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</row>
    <row r="3327" spans="3:14" x14ac:dyDescent="0.35"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</row>
    <row r="3328" spans="3:14" x14ac:dyDescent="0.35"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</row>
    <row r="3329" spans="3:14" x14ac:dyDescent="0.35"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</row>
    <row r="3330" spans="3:14" x14ac:dyDescent="0.35"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</row>
    <row r="3331" spans="3:14" x14ac:dyDescent="0.35"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</row>
    <row r="3332" spans="3:14" x14ac:dyDescent="0.35"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</row>
    <row r="3333" spans="3:14" x14ac:dyDescent="0.35"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</row>
    <row r="3334" spans="3:14" x14ac:dyDescent="0.35"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</row>
    <row r="3335" spans="3:14" x14ac:dyDescent="0.35"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</row>
    <row r="3336" spans="3:14" x14ac:dyDescent="0.35"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</row>
    <row r="3337" spans="3:14" x14ac:dyDescent="0.35"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</row>
    <row r="3338" spans="3:14" x14ac:dyDescent="0.35"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</row>
    <row r="3339" spans="3:14" x14ac:dyDescent="0.35"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</row>
    <row r="3340" spans="3:14" x14ac:dyDescent="0.35"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</row>
    <row r="3341" spans="3:14" x14ac:dyDescent="0.35"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</row>
    <row r="3342" spans="3:14" x14ac:dyDescent="0.35"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</row>
    <row r="3343" spans="3:14" x14ac:dyDescent="0.35"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</row>
    <row r="3344" spans="3:14" x14ac:dyDescent="0.35"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</row>
    <row r="3345" spans="3:14" x14ac:dyDescent="0.35"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</row>
    <row r="3346" spans="3:14" x14ac:dyDescent="0.35"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</row>
    <row r="3347" spans="3:14" x14ac:dyDescent="0.35"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</row>
    <row r="3348" spans="3:14" x14ac:dyDescent="0.35"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</row>
    <row r="3349" spans="3:14" x14ac:dyDescent="0.35"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</row>
    <row r="3350" spans="3:14" x14ac:dyDescent="0.35"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</row>
    <row r="3351" spans="3:14" x14ac:dyDescent="0.35"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</row>
    <row r="3352" spans="3:14" x14ac:dyDescent="0.35"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</row>
    <row r="3353" spans="3:14" x14ac:dyDescent="0.35"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</row>
    <row r="3354" spans="3:14" x14ac:dyDescent="0.35"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</row>
    <row r="3355" spans="3:14" x14ac:dyDescent="0.35"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</row>
    <row r="3356" spans="3:14" x14ac:dyDescent="0.35"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</row>
    <row r="3357" spans="3:14" x14ac:dyDescent="0.35"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</row>
    <row r="3358" spans="3:14" x14ac:dyDescent="0.35"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</row>
    <row r="3359" spans="3:14" x14ac:dyDescent="0.35"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</row>
    <row r="3360" spans="3:14" x14ac:dyDescent="0.35"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</row>
    <row r="3361" spans="3:14" x14ac:dyDescent="0.35"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</row>
    <row r="3362" spans="3:14" x14ac:dyDescent="0.35"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</row>
    <row r="3363" spans="3:14" x14ac:dyDescent="0.35"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</row>
    <row r="3364" spans="3:14" x14ac:dyDescent="0.35"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</row>
    <row r="3365" spans="3:14" x14ac:dyDescent="0.35"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</row>
    <row r="3366" spans="3:14" x14ac:dyDescent="0.35"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</row>
    <row r="3367" spans="3:14" x14ac:dyDescent="0.35"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</row>
    <row r="3368" spans="3:14" x14ac:dyDescent="0.35"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</row>
    <row r="3369" spans="3:14" x14ac:dyDescent="0.35"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</row>
    <row r="3370" spans="3:14" x14ac:dyDescent="0.35"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</row>
    <row r="3371" spans="3:14" x14ac:dyDescent="0.35"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</row>
    <row r="3372" spans="3:14" x14ac:dyDescent="0.35"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</row>
    <row r="3373" spans="3:14" x14ac:dyDescent="0.35"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</row>
    <row r="3374" spans="3:14" x14ac:dyDescent="0.35"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</row>
    <row r="3375" spans="3:14" x14ac:dyDescent="0.35"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</row>
    <row r="3376" spans="3:14" x14ac:dyDescent="0.35"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</row>
    <row r="3377" spans="3:14" x14ac:dyDescent="0.35"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</row>
    <row r="3378" spans="3:14" x14ac:dyDescent="0.35"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</row>
    <row r="3379" spans="3:14" x14ac:dyDescent="0.35"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</row>
    <row r="3380" spans="3:14" x14ac:dyDescent="0.35"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</row>
    <row r="3381" spans="3:14" x14ac:dyDescent="0.35"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</row>
    <row r="3382" spans="3:14" x14ac:dyDescent="0.35"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</row>
    <row r="3383" spans="3:14" x14ac:dyDescent="0.35"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</row>
    <row r="3384" spans="3:14" x14ac:dyDescent="0.35"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</row>
    <row r="3385" spans="3:14" x14ac:dyDescent="0.35"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</row>
    <row r="3386" spans="3:14" x14ac:dyDescent="0.35"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</row>
    <row r="3387" spans="3:14" x14ac:dyDescent="0.35"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</row>
    <row r="3388" spans="3:14" x14ac:dyDescent="0.35"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</row>
    <row r="3389" spans="3:14" x14ac:dyDescent="0.35"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</row>
    <row r="3390" spans="3:14" x14ac:dyDescent="0.35"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</row>
    <row r="3391" spans="3:14" x14ac:dyDescent="0.35"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</row>
    <row r="3392" spans="3:14" x14ac:dyDescent="0.35"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</row>
    <row r="3393" spans="3:14" x14ac:dyDescent="0.35"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</row>
    <row r="3394" spans="3:14" x14ac:dyDescent="0.35"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</row>
    <row r="3395" spans="3:14" x14ac:dyDescent="0.35"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</row>
    <row r="3396" spans="3:14" x14ac:dyDescent="0.35"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</row>
    <row r="3397" spans="3:14" x14ac:dyDescent="0.35"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</row>
    <row r="3398" spans="3:14" x14ac:dyDescent="0.35"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</row>
    <row r="3399" spans="3:14" x14ac:dyDescent="0.35"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</row>
    <row r="3400" spans="3:14" x14ac:dyDescent="0.35"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</row>
    <row r="3401" spans="3:14" x14ac:dyDescent="0.35"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</row>
    <row r="3402" spans="3:14" x14ac:dyDescent="0.35"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</row>
    <row r="3403" spans="3:14" x14ac:dyDescent="0.35"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</row>
    <row r="3404" spans="3:14" x14ac:dyDescent="0.35"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</row>
    <row r="3405" spans="3:14" x14ac:dyDescent="0.35"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</row>
    <row r="3406" spans="3:14" x14ac:dyDescent="0.35"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</row>
    <row r="3407" spans="3:14" x14ac:dyDescent="0.35"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</row>
    <row r="3408" spans="3:14" x14ac:dyDescent="0.35">
      <c r="C3408" s="1"/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</row>
    <row r="3409" spans="3:14" x14ac:dyDescent="0.35"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</row>
    <row r="3410" spans="3:14" x14ac:dyDescent="0.35"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</row>
    <row r="3411" spans="3:14" x14ac:dyDescent="0.35"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</row>
    <row r="3412" spans="3:14" x14ac:dyDescent="0.35"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</row>
    <row r="3413" spans="3:14" x14ac:dyDescent="0.35"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</row>
    <row r="3414" spans="3:14" x14ac:dyDescent="0.35"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</row>
    <row r="3415" spans="3:14" x14ac:dyDescent="0.35"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</row>
    <row r="3416" spans="3:14" x14ac:dyDescent="0.35"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</row>
    <row r="3417" spans="3:14" x14ac:dyDescent="0.35"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</row>
    <row r="3418" spans="3:14" x14ac:dyDescent="0.35"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</row>
    <row r="3419" spans="3:14" x14ac:dyDescent="0.35"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</row>
    <row r="3420" spans="3:14" x14ac:dyDescent="0.35"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</row>
    <row r="3421" spans="3:14" x14ac:dyDescent="0.35"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</row>
    <row r="3422" spans="3:14" x14ac:dyDescent="0.35"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</row>
    <row r="3423" spans="3:14" x14ac:dyDescent="0.35"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</row>
    <row r="3424" spans="3:14" x14ac:dyDescent="0.35"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</row>
    <row r="3425" spans="3:14" x14ac:dyDescent="0.35"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</row>
    <row r="3426" spans="3:14" x14ac:dyDescent="0.35"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</row>
    <row r="3427" spans="3:14" x14ac:dyDescent="0.35"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</row>
    <row r="3428" spans="3:14" x14ac:dyDescent="0.35"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</row>
    <row r="3429" spans="3:14" x14ac:dyDescent="0.35"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</row>
    <row r="3430" spans="3:14" x14ac:dyDescent="0.35"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</row>
    <row r="3431" spans="3:14" x14ac:dyDescent="0.35"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</row>
    <row r="3432" spans="3:14" x14ac:dyDescent="0.35"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</row>
    <row r="3433" spans="3:14" x14ac:dyDescent="0.35"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</row>
    <row r="3434" spans="3:14" x14ac:dyDescent="0.35"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</row>
    <row r="3435" spans="3:14" x14ac:dyDescent="0.35"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</row>
    <row r="3436" spans="3:14" x14ac:dyDescent="0.35"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</row>
    <row r="3437" spans="3:14" x14ac:dyDescent="0.35"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</row>
    <row r="3438" spans="3:14" x14ac:dyDescent="0.35"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</row>
    <row r="3439" spans="3:14" x14ac:dyDescent="0.35"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</row>
    <row r="3440" spans="3:14" x14ac:dyDescent="0.35"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</row>
    <row r="3441" spans="3:14" x14ac:dyDescent="0.35"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</row>
    <row r="3442" spans="3:14" x14ac:dyDescent="0.35"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</row>
    <row r="3443" spans="3:14" x14ac:dyDescent="0.35"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</row>
    <row r="3444" spans="3:14" x14ac:dyDescent="0.35"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</row>
    <row r="3445" spans="3:14" x14ac:dyDescent="0.35"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</row>
    <row r="3446" spans="3:14" x14ac:dyDescent="0.35"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</row>
    <row r="3447" spans="3:14" x14ac:dyDescent="0.35"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</row>
    <row r="3448" spans="3:14" x14ac:dyDescent="0.35"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</row>
    <row r="3449" spans="3:14" x14ac:dyDescent="0.35"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</row>
    <row r="3450" spans="3:14" x14ac:dyDescent="0.35"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</row>
    <row r="3451" spans="3:14" x14ac:dyDescent="0.35"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</row>
    <row r="3452" spans="3:14" x14ac:dyDescent="0.35"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</row>
    <row r="3453" spans="3:14" x14ac:dyDescent="0.35"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</row>
    <row r="3454" spans="3:14" x14ac:dyDescent="0.35"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</row>
    <row r="3455" spans="3:14" x14ac:dyDescent="0.35"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</row>
    <row r="3456" spans="3:14" x14ac:dyDescent="0.35"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</row>
    <row r="3457" spans="3:14" x14ac:dyDescent="0.35"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</row>
    <row r="3458" spans="3:14" x14ac:dyDescent="0.35"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</row>
    <row r="3459" spans="3:14" x14ac:dyDescent="0.35"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</row>
    <row r="3460" spans="3:14" x14ac:dyDescent="0.35"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</row>
    <row r="3461" spans="3:14" x14ac:dyDescent="0.35"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</row>
    <row r="3462" spans="3:14" x14ac:dyDescent="0.35"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</row>
    <row r="3463" spans="3:14" x14ac:dyDescent="0.35"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</row>
    <row r="3464" spans="3:14" x14ac:dyDescent="0.35"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</row>
    <row r="3465" spans="3:14" x14ac:dyDescent="0.35"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</row>
    <row r="3466" spans="3:14" x14ac:dyDescent="0.35"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</row>
    <row r="3467" spans="3:14" x14ac:dyDescent="0.35"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</row>
    <row r="3468" spans="3:14" x14ac:dyDescent="0.35"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</row>
    <row r="3469" spans="3:14" x14ac:dyDescent="0.35"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</row>
    <row r="3470" spans="3:14" x14ac:dyDescent="0.35"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</row>
    <row r="3471" spans="3:14" x14ac:dyDescent="0.35"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</row>
    <row r="3472" spans="3:14" x14ac:dyDescent="0.35"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</row>
    <row r="3473" spans="3:14" x14ac:dyDescent="0.35"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</row>
    <row r="3474" spans="3:14" x14ac:dyDescent="0.35"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</row>
    <row r="3475" spans="3:14" x14ac:dyDescent="0.35"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</row>
    <row r="3476" spans="3:14" x14ac:dyDescent="0.35"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</row>
    <row r="3477" spans="3:14" x14ac:dyDescent="0.35"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</row>
    <row r="3478" spans="3:14" x14ac:dyDescent="0.35"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</row>
    <row r="3479" spans="3:14" x14ac:dyDescent="0.35"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</row>
    <row r="3480" spans="3:14" x14ac:dyDescent="0.35"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</row>
    <row r="3481" spans="3:14" x14ac:dyDescent="0.35"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</row>
    <row r="3482" spans="3:14" x14ac:dyDescent="0.35"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</row>
    <row r="3483" spans="3:14" x14ac:dyDescent="0.35"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</row>
    <row r="3484" spans="3:14" x14ac:dyDescent="0.35"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</row>
    <row r="3485" spans="3:14" x14ac:dyDescent="0.35"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</row>
    <row r="3486" spans="3:14" x14ac:dyDescent="0.35"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</row>
    <row r="3487" spans="3:14" x14ac:dyDescent="0.35"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</row>
    <row r="3488" spans="3:14" x14ac:dyDescent="0.35"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</row>
    <row r="3489" spans="3:14" x14ac:dyDescent="0.35"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</row>
    <row r="3490" spans="3:14" x14ac:dyDescent="0.35"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</row>
    <row r="3491" spans="3:14" x14ac:dyDescent="0.35"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</row>
    <row r="3492" spans="3:14" x14ac:dyDescent="0.35"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</row>
    <row r="3493" spans="3:14" x14ac:dyDescent="0.35"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</row>
    <row r="3494" spans="3:14" x14ac:dyDescent="0.35"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</row>
    <row r="3495" spans="3:14" x14ac:dyDescent="0.35"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</row>
    <row r="3496" spans="3:14" x14ac:dyDescent="0.35"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</row>
    <row r="3497" spans="3:14" x14ac:dyDescent="0.35"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</row>
    <row r="3498" spans="3:14" x14ac:dyDescent="0.35"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</row>
    <row r="3499" spans="3:14" x14ac:dyDescent="0.35"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</row>
    <row r="3500" spans="3:14" x14ac:dyDescent="0.35"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</row>
    <row r="3501" spans="3:14" x14ac:dyDescent="0.35"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</row>
    <row r="3502" spans="3:14" x14ac:dyDescent="0.35"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</row>
    <row r="3503" spans="3:14" x14ac:dyDescent="0.35"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</row>
    <row r="3504" spans="3:14" x14ac:dyDescent="0.35"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</row>
    <row r="3505" spans="3:14" x14ac:dyDescent="0.35"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</row>
    <row r="3506" spans="3:14" x14ac:dyDescent="0.35"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</row>
    <row r="3507" spans="3:14" x14ac:dyDescent="0.35"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</row>
    <row r="3508" spans="3:14" x14ac:dyDescent="0.35"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</row>
    <row r="3509" spans="3:14" x14ac:dyDescent="0.35"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</row>
    <row r="3510" spans="3:14" x14ac:dyDescent="0.35"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</row>
    <row r="3511" spans="3:14" x14ac:dyDescent="0.35"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</row>
    <row r="3512" spans="3:14" x14ac:dyDescent="0.35"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</row>
    <row r="3513" spans="3:14" x14ac:dyDescent="0.35"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</row>
    <row r="3514" spans="3:14" x14ac:dyDescent="0.35"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</row>
    <row r="3515" spans="3:14" x14ac:dyDescent="0.35"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</row>
    <row r="3516" spans="3:14" x14ac:dyDescent="0.35"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</row>
    <row r="3517" spans="3:14" x14ac:dyDescent="0.35"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</row>
    <row r="3518" spans="3:14" x14ac:dyDescent="0.35"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</row>
    <row r="3519" spans="3:14" x14ac:dyDescent="0.35"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</row>
    <row r="3520" spans="3:14" x14ac:dyDescent="0.35"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</row>
    <row r="3521" spans="3:14" x14ac:dyDescent="0.35"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</row>
    <row r="3522" spans="3:14" x14ac:dyDescent="0.35"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</row>
    <row r="3523" spans="3:14" x14ac:dyDescent="0.35"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</row>
    <row r="3524" spans="3:14" x14ac:dyDescent="0.35"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</row>
    <row r="3525" spans="3:14" x14ac:dyDescent="0.35"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</row>
    <row r="3526" spans="3:14" x14ac:dyDescent="0.35"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</row>
    <row r="3527" spans="3:14" x14ac:dyDescent="0.35"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</row>
    <row r="3528" spans="3:14" x14ac:dyDescent="0.35"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</row>
    <row r="3529" spans="3:14" x14ac:dyDescent="0.35"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</row>
  </sheetData>
  <autoFilter ref="A1:N1" xr:uid="{00000000-0009-0000-0000-000000000000}">
    <sortState xmlns:xlrd2="http://schemas.microsoft.com/office/spreadsheetml/2017/richdata2" ref="A2:R3510">
      <sortCondition ref="B1"/>
    </sortState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quitarCaractEspSite">
                <anchor moveWithCells="1" sizeWithCells="1">
                  <from>
                    <xdr:col>14</xdr:col>
                    <xdr:colOff>31750</xdr:colOff>
                    <xdr:row>0</xdr:row>
                    <xdr:rowOff>25400</xdr:rowOff>
                  </from>
                  <to>
                    <xdr:col>14</xdr:col>
                    <xdr:colOff>755650</xdr:colOff>
                    <xdr:row>0</xdr:row>
                    <xdr:rowOff>279400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W2"/>
  <sheetViews>
    <sheetView zoomScale="90" zoomScaleNormal="90" workbookViewId="0">
      <pane ySplit="1" topLeftCell="A2" activePane="bottomLeft" state="frozen"/>
      <selection activeCell="Q7" sqref="Q7:Y705"/>
      <selection pane="bottomLeft"/>
    </sheetView>
  </sheetViews>
  <sheetFormatPr defaultColWidth="11.453125" defaultRowHeight="14.5" x14ac:dyDescent="0.35"/>
  <cols>
    <col min="1" max="1" width="30" style="1" customWidth="1"/>
    <col min="2" max="2" width="17.81640625" style="1" customWidth="1"/>
    <col min="3" max="6" width="1.1796875" style="1" customWidth="1"/>
    <col min="7" max="20" width="1.1796875" customWidth="1"/>
    <col min="21" max="21" width="47.453125" customWidth="1"/>
    <col min="22" max="22" width="52.6328125" bestFit="1" customWidth="1"/>
  </cols>
  <sheetData>
    <row r="1" spans="1:23" ht="24" customHeight="1" x14ac:dyDescent="0.35">
      <c r="A1" s="3" t="s">
        <v>0</v>
      </c>
      <c r="B1" s="3" t="s">
        <v>11</v>
      </c>
      <c r="C1" s="3" t="s">
        <v>12</v>
      </c>
      <c r="D1" s="3" t="s">
        <v>17</v>
      </c>
      <c r="E1" s="3" t="s">
        <v>15</v>
      </c>
      <c r="F1" s="3" t="s">
        <v>16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18</v>
      </c>
      <c r="M1" s="2" t="s">
        <v>19</v>
      </c>
      <c r="N1" s="2" t="s">
        <v>6</v>
      </c>
      <c r="O1" s="2" t="s">
        <v>7</v>
      </c>
      <c r="P1" s="2" t="s">
        <v>8</v>
      </c>
      <c r="Q1" s="2" t="s">
        <v>9</v>
      </c>
      <c r="R1" s="2" t="s">
        <v>10</v>
      </c>
      <c r="S1" s="2" t="s">
        <v>20</v>
      </c>
      <c r="T1" s="2" t="s">
        <v>21</v>
      </c>
      <c r="U1" s="2" t="s">
        <v>13</v>
      </c>
      <c r="V1" s="2" t="s">
        <v>14</v>
      </c>
      <c r="W1" s="3">
        <f>MAX(COUNTIFS(A:A,"&lt;&gt;"),COUNTIFS(U:U,"&lt;&gt;"),COUNTIFS(V:V,"&lt;&gt;"))</f>
        <v>1</v>
      </c>
    </row>
    <row r="2" spans="1:23" x14ac:dyDescent="0.35">
      <c r="B2" s="1" t="str">
        <f>IF(U2=V2,"OK+++",IF(OR(C2="NO",D2="NO"),"NO#",IF(C2="OK",IF(IFERROR(SEARCH(V2,U2),0)&gt;=1,"OK+++",IF(IFERROR(SEARCH(U2,V2),0)&gt;=1,"OK+++",IF(OR(ISERROR(J2),ISERROR(Q2)),IF("---------------","OK+++",IF((IF(ISERROR(SEARCH(N2,U2,1)),0,1)+IF(ISERROR(SEARCH(O2,U2,1)),0,1)+IF(ISERROR(SEARCH(P2,U2,1)),0,1)+IF(ISERROR(SEARCH(Q2,U2,1)),0,1)+IF(ISERROR(SEARCH(R2,U2,1)),0,1))&gt;=3,"OK+++","NO")),IF((IF(ISERROR(SEARCH(IF(G2="","+",G2),V2,1)),0,1)+IF(ISERROR(SEARCH(IF(H2="","+",H2),V2,1)),0,1)+IF(ISERROR(SEARCH(IF(I2="","+",I2),V2,1)),0,1)+IF(ISERROR(SEARCH(IF(J2="","+",J2),V2,1)),0,1)+IF(ISERROR(SEARCH(IF(K2="","+",K2),V2,1)),0,1))&gt;=4,"OK+++",IF((IF(ISERROR(SEARCH(N2,U2,1)),0,1)+IF(ISERROR(SEARCH(O2,U2,1)),0,1)+IF(ISERROR(SEARCH(P2,U2,1)),0,1)+IF(ISERROR(SEARCH(Q2,U2,1)),0,1)+IF(ISERROR(SEARCH(R2,U2,1)),0,1))&gt;=4,"OK+++",IF((IF(ISERROR(SEARCH(IF(G2="","+",G2),V2,1)),0,1)+IF(ISERROR(SEARCH(IF(H2="","+",H2),V2,1)),0,1)+IF(ISERROR(SEARCH(IF(I2="","+",I2),V2,1)),0,1)+IF(ISERROR(SEARCH(IF(J2="","+",J2),V2,1)),0,1)+IF(ISERROR(SEARCH(IF(K2="","+",K2),V2,1)),0,1))&gt;=3,"OK++",IF((IF(ISERROR(SEARCH(N2,U2,1)),0,1)+IF(ISERROR(SEARCH(O2,U2,1)),0,1)+IF(ISERROR(SEARCH(P2,U2,1)),0,1)+IF(ISERROR(SEARCH(Q2,U2,1)),0,1)+IF(ISERROR(SEARCH(R2,U2,1)),0,1))&gt;=3,"OK++",IF((IF(ISERROR(SEARCH(IF(G2="","+",G2),V2,1)),0,1)+IF(ISERROR(SEARCH(IF(H2="","+",H2),V2,1)),0,1)+IF(ISERROR(SEARCH(IF(I2="","+",I2),V2,1)),0,1)+IF(ISERROR(SEARCH(IF(J2="","+",J2),V2,1)),0,1)+IF(ISERROR(SEARCH(IF(K2="","+",K2),V2,1)),0,1))&gt;=2,IF(7-COUNTIFS(G2:M2,"")=2,"OK+","C02"),IF((IF(ISERROR(SEARCH(N2,U2,1)),0,1)+IF(ISERROR(SEARCH(O2,U2,1)),0,1)+IF(ISERROR(SEARCH(P2,U2,1)),0,1)+IF(ISERROR(SEARCH(Q2,U2,1)),0,1)+IF(ISERROR(SEARCH(R2,U2,1)),0,1))&gt;=2,IF(7-COUNTIFS(G2:M2,"")=2,"OK+","C02"),IF((IF(ISERROR(SEARCH(IF(G2="","+",G2),V2,1)),0,1)+IF(ISERROR(SEARCH(IF(H2="","+",H2),V2,1)),0,1)+IF(ISERROR(SEARCH(IF(I2="","+",I2),V2,1)),0,1)+IF(ISERROR(SEARCH(IF(J2="","+",J2),V2,1)),0,1)+IF(ISERROR(SEARCH(IF(K2="","+",K2),V2,1)),0,1))&gt;=1,"C01",IF((IF(ISERROR(SEARCH(N2,U2,1)),0,1)+IF(ISERROR(SEARCH(O2,U2,1)),0,1)+IF(ISERROR(SEARCH(P2,U2,1)),0,1)+IF(ISERROR(SEARCH(Q2,U2,1)),0,1)+IF(ISERROR(SEARCH(R2,U2,1)),0,1))&gt;=1,"C01","NO"))))))))))),"NO#")))</f>
        <v>OK+++</v>
      </c>
      <c r="C2" s="1" t="str">
        <f>IF(AND(D2="OK",E2="-"),"OK",IF(AND(D2="OK",NOT(ISERROR(SEARCH(E2,V2)))),"OK",D2))</f>
        <v>NO</v>
      </c>
      <c r="D2" s="1" t="str">
        <f>IF(E2=F2,IF(E2="-","OK",IF(ISERROR(SEARCH(F2,V2)),"NO","OK")),IF(ISERROR(SEARCH(F2,V2)),"NO","OK"))</f>
        <v>NO</v>
      </c>
      <c r="E2" s="1">
        <f>IFERROR(G2*1,IFERROR(H2*1,IFERROR(I2*1,IFERROR(J2*1,IFERROR(K2*1,IFERROR(L2*1,IFERROR(M2*1,"-")))))))</f>
        <v>0</v>
      </c>
      <c r="F2" s="1">
        <f>IFERROR(M2*1,IFERROR(L2*1,IFERROR(K2*1,IFERROR(J2*1,IFERROR(I2*1,IFERROR(H2*1,IFERROR(G2*1,"-")))))))</f>
        <v>0</v>
      </c>
      <c r="G2" s="1">
        <f>IFERROR(MID(U2,1,SEARCH(" ",U2,1)-1),U2)</f>
        <v>0</v>
      </c>
      <c r="H2" s="1" t="str">
        <f>IFERROR(MID(MID($U2,LEN($G2)+(COLUMN()-6),LEN($U2)),1,SEARCH(" ",MID($U2,LEN($G2)+(COLUMN()-6),LEN($U2)),1)-1),MID($U2,LEN($G2)+(COLUMN()-6),LEN($U2)))</f>
        <v/>
      </c>
      <c r="I2" s="1" t="str">
        <f>IFERROR(MID(MID($U2,LEN($G2)+LEN($H2)+(COLUMN()-6),LEN($U2)),1,SEARCH(" ",MID($U2,LEN($G2)+LEN($H2)+(COLUMN()-6),LEN($U2)),1)-1),MID($U2,LEN($G2)+LEN($H2)+(COLUMN()-6),LEN($U2)))</f>
        <v/>
      </c>
      <c r="J2" s="1" t="str">
        <f>IFERROR(MID(MID($U2,LEN($G2)+LEN($H2)+LEN($I2)+(COLUMN()-6),LEN($U2)),1,SEARCH(" ",MID($U2,LEN($G2)+LEN($H2)+LEN($I2)+(COLUMN()-6),LEN($U2)),1)-1),MID($U2,LEN($G2)+LEN($H2)+LEN($I2)+(COLUMN()-6),LEN($U2)))</f>
        <v/>
      </c>
      <c r="K2" s="1" t="str">
        <f>IFERROR(MID(MID($U2,LEN($G2)+LEN($H2)+LEN($I2)+LEN($J2)+(COLUMN()-6),LEN($U2)),1,SEARCH(" ",MID($U2,LEN($G2)+LEN($H2)+LEN($I2)+LEN($J2)+(COLUMN()-6),LEN($U2)),1)-1),MID($U2,LEN($G2)+LEN($H2)+LEN($I2)+LEN($J2)+(COLUMN()-6),LEN($U2)))</f>
        <v/>
      </c>
      <c r="L2" s="1" t="str">
        <f>IFERROR(MID(MID($U2,LEN($G2)+LEN($H2)+LEN($I2)+LEN($J2)+LEN($K2)+(COLUMN()-6),LEN($U2)),1,SEARCH(" ",MID($U2,LEN($G2)+LEN($H2)+LEN($I2)+LEN($J2)+LEN($K2)+(COLUMN()-6),LEN($U2)),1)-1),MID($U2,LEN($G2)+LEN($H2)+LEN($I2)+LEN($J2)+LEN($K2)+(COLUMN()-6),LEN($U2)))</f>
        <v/>
      </c>
      <c r="M2" s="1" t="str">
        <f>IFERROR(MID(MID($U2,LEN($G2)+LEN($H2)+LEN($I2)+LEN($J2)+LEN($K2)+LEN($L2)+(COLUMN()-6),LEN($U2)),1,SEARCH(" ",MID($U2,LEN($G2)+LEN($H2)+LEN($I2)+LEN($J2)+LEN($K2)+LEN($L2)+(COLUMN()-6),LEN($U2)),1)-1),MID($U2,LEN($G2)+LEN($H2)+LEN($I2)+LEN($J2)+LEN($K2)+LEN($L2)+(COLUMN()-6),LEN($U2)))</f>
        <v/>
      </c>
      <c r="N2" s="1">
        <f>IFERROR(MID(V2,1,SEARCH(" ",V2,1)-1),V2)</f>
        <v>0</v>
      </c>
      <c r="O2" s="1" t="str">
        <f>IFERROR(MID(MID($V2,LEN($N2)+(COLUMN()-13),LEN($V2)),1,SEARCH(" ",MID($V2,LEN($N2)+(COLUMN()-13),LEN($V2)),1)-1),MID($V2,LEN($N2)+(COLUMN()-13),LEN($V2)))</f>
        <v/>
      </c>
      <c r="P2" s="1" t="str">
        <f>IFERROR(MID(MID($V2,LEN($N2)+LEN($O2)+(COLUMN()-13),LEN($V2)),1,SEARCH(" ",MID($V2,LEN($N2)+LEN($O2)+(COLUMN()-13),LEN($V2)),1)-1),MID($V2,LEN($N2)+LEN($O2)+(COLUMN()-13),LEN($V2)))</f>
        <v/>
      </c>
      <c r="Q2" s="1" t="str">
        <f>IFERROR(MID(MID($V2,LEN($N2)+LEN($O2)+LEN($P2)+(COLUMN()-13),LEN($V2)),1,SEARCH(" ",MID($V2,LEN($N2)+LEN($O2)+LEN($P2)+(COLUMN()-13),LEN($V2)),1)-1),MID($V2,LEN($N2)+LEN($O2)+LEN($P2)+(COLUMN()-13),LEN($V2)))</f>
        <v/>
      </c>
      <c r="R2" s="1" t="str">
        <f>IFERROR(MID(MID($V2,LEN($N2)+LEN($O2)+LEN($P2)+LEN($Q2)+(COLUMN()-13),LEN($V2)),1,SEARCH(" ",MID($V2,LEN($N2)+LEN($O2)+LEN($P2)+LEN($Q2)+(COLUMN()-13),LEN($V2)),1)-1),MID($V2,LEN($N2)+LEN($O2)+LEN($P2)+LEN($Q2)+(COLUMN()-13),LEN($V2)))</f>
        <v/>
      </c>
      <c r="S2" s="1" t="str">
        <f>IFERROR(MID(MID($V2,LEN($N2)+LEN($O2)+LEN($P2)+LEN($Q2)+LEN($R2)+(COLUMN()-13),LEN($V2)),1,SEARCH(" ",MID($V2,LEN($N2)+LEN($O2)+LEN($P2)+LEN($Q2)+LEN($R2)+(COLUMN()-13),LEN($V2)),1)-1),MID($V2,LEN($N2)+LEN($O2)+LEN($P2)+LEN($Q2)+LEN($R2)+(COLUMN()-13),LEN($V2)))</f>
        <v/>
      </c>
      <c r="T2" s="1" t="str">
        <f>IFERROR(MID(MID($V2,LEN($N2)+LEN($O2)+LEN($P2)+LEN($Q2)+LEN($R2)+LEN($S2)+(COLUMN()-13),LEN($V2)),1,SEARCH(" ",MID($V2,LEN($N2)+LEN($O2)+LEN($P2)+LEN($Q2)+LEN($R2)+LEN($S2)+(COLUMN()-13),LEN($V2)),1)-1),MID($V2,LEN($N2)+LEN($O2)+LEN($P2)+LEN($Q2)+LEN($R2)+LEN($S2)+(COLUMN()-13),LEN($V2)))</f>
        <v/>
      </c>
      <c r="V2" s="1"/>
    </row>
  </sheetData>
  <autoFilter ref="A1:V2" xr:uid="{00000000-0009-0000-0000-000001000000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quitarCaractEspAdd">
                <anchor moveWithCells="1" sizeWithCells="1">
                  <from>
                    <xdr:col>22</xdr:col>
                    <xdr:colOff>31750</xdr:colOff>
                    <xdr:row>0</xdr:row>
                    <xdr:rowOff>25400</xdr:rowOff>
                  </from>
                  <to>
                    <xdr:col>22</xdr:col>
                    <xdr:colOff>755650</xdr:colOff>
                    <xdr:row>0</xdr:row>
                    <xdr:rowOff>279400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Site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euroks</dc:creator>
  <cp:lastModifiedBy>Home</cp:lastModifiedBy>
  <dcterms:created xsi:type="dcterms:W3CDTF">2012-07-16T20:31:41Z</dcterms:created>
  <dcterms:modified xsi:type="dcterms:W3CDTF">2025-11-20T03:09:00Z</dcterms:modified>
</cp:coreProperties>
</file>