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328" codeName="{DD97A8EA-9A9A-E61F-A557-7D5A7D7259CE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ome\OneDrive\Escritorio\GitHub\Excel\"/>
    </mc:Choice>
  </mc:AlternateContent>
  <xr:revisionPtr revIDLastSave="0" documentId="13_ncr:1_{DB592609-E976-49B3-BDAC-B6181504C046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EI" sheetId="8" r:id="rId1"/>
    <sheet name="-" sheetId="13" state="veryHidden" r:id="rId2"/>
  </sheets>
  <definedNames>
    <definedName name="_xlnm._FilterDatabase" localSheetId="1" hidden="1">'-'!$J$1:$O$1</definedName>
    <definedName name="_xlnm._FilterDatabase" localSheetId="0" hidden="1">EI!$A$1:$CV$5</definedName>
  </definedNames>
  <calcPr calcId="181029"/>
</workbook>
</file>

<file path=xl/calcChain.xml><?xml version="1.0" encoding="utf-8"?>
<calcChain xmlns="http://schemas.openxmlformats.org/spreadsheetml/2006/main">
  <c r="CV10" i="8" l="1"/>
  <c r="CC10" i="8"/>
  <c r="CB10" i="8"/>
  <c r="CA10" i="8"/>
  <c r="CU10" i="8" s="1"/>
  <c r="CV9" i="8"/>
  <c r="CC9" i="8"/>
  <c r="CB9" i="8"/>
  <c r="CD9" i="8" s="1"/>
  <c r="CQ9" i="8" s="1"/>
  <c r="CA9" i="8"/>
  <c r="CU9" i="8" s="1"/>
  <c r="CV8" i="8"/>
  <c r="CC8" i="8"/>
  <c r="CB8" i="8"/>
  <c r="CA8" i="8"/>
  <c r="CT8" i="8" s="1"/>
  <c r="CV7" i="8"/>
  <c r="CC7" i="8"/>
  <c r="CB7" i="8"/>
  <c r="CD7" i="8" s="1"/>
  <c r="CQ7" i="8" s="1"/>
  <c r="CA7" i="8"/>
  <c r="CU7" i="8" s="1"/>
  <c r="CV6" i="8"/>
  <c r="CC6" i="8"/>
  <c r="CB6" i="8"/>
  <c r="CD6" i="8" s="1"/>
  <c r="CQ6" i="8" s="1"/>
  <c r="CA6" i="8"/>
  <c r="CU6" i="8" s="1"/>
  <c r="CA5" i="8"/>
  <c r="CA4" i="8"/>
  <c r="CA3" i="8"/>
  <c r="CA2" i="8"/>
  <c r="CT6" i="8" l="1"/>
  <c r="CD10" i="8"/>
  <c r="CQ10" i="8" s="1"/>
  <c r="CT9" i="8"/>
  <c r="CD8" i="8"/>
  <c r="CQ8" i="8" s="1"/>
  <c r="CU8" i="8"/>
  <c r="CT10" i="8"/>
  <c r="CT7" i="8"/>
  <c r="CC2" i="8"/>
  <c r="CB2" i="8"/>
  <c r="CT2" i="8" l="1"/>
  <c r="CD2" i="8"/>
  <c r="CQ2" i="8" s="1"/>
  <c r="CU2" i="8"/>
  <c r="CV2" i="8"/>
  <c r="CU3" i="8"/>
  <c r="CB3" i="8"/>
  <c r="CC3" i="8"/>
  <c r="CT3" i="8"/>
  <c r="CV3" i="8"/>
  <c r="CT4" i="8"/>
  <c r="CB4" i="8"/>
  <c r="CC4" i="8"/>
  <c r="CV4" i="8"/>
  <c r="CU5" i="8"/>
  <c r="CB5" i="8"/>
  <c r="CC5" i="8"/>
  <c r="CT5" i="8"/>
  <c r="CV5" i="8"/>
  <c r="CD5" i="8" l="1"/>
  <c r="CQ5" i="8" s="1"/>
  <c r="CD3" i="8"/>
  <c r="CQ3" i="8" s="1"/>
  <c r="CD4" i="8"/>
  <c r="CQ4" i="8" s="1"/>
  <c r="CU4" i="8"/>
</calcChain>
</file>

<file path=xl/sharedStrings.xml><?xml version="1.0" encoding="utf-8"?>
<sst xmlns="http://schemas.openxmlformats.org/spreadsheetml/2006/main" count="357" uniqueCount="171">
  <si>
    <t>ATM</t>
  </si>
  <si>
    <t>CRM</t>
  </si>
  <si>
    <t>Vandalismo</t>
  </si>
  <si>
    <t>Mala operación</t>
  </si>
  <si>
    <t>RetN1_Res.</t>
  </si>
  <si>
    <t>RetN1_Info.</t>
  </si>
  <si>
    <t>RetExt-N1</t>
  </si>
  <si>
    <t>Resumen RetExt-N1</t>
  </si>
  <si>
    <t>Condiciones de site</t>
  </si>
  <si>
    <t>Falla en comunicaciones</t>
  </si>
  <si>
    <t>-</t>
  </si>
  <si>
    <t>CodeFin</t>
  </si>
  <si>
    <t>CodeIni</t>
  </si>
  <si>
    <t>Sr Number</t>
  </si>
  <si>
    <t>Task Number</t>
  </si>
  <si>
    <t>Bank Ticket</t>
  </si>
  <si>
    <t>Instance Num</t>
  </si>
  <si>
    <t>Party Site Number</t>
  </si>
  <si>
    <t>Tag Number</t>
  </si>
  <si>
    <t>Serial Number</t>
  </si>
  <si>
    <t>Item Number</t>
  </si>
  <si>
    <t>Item Description</t>
  </si>
  <si>
    <t>Model</t>
  </si>
  <si>
    <t>Task Name</t>
  </si>
  <si>
    <t>Customer Number</t>
  </si>
  <si>
    <t>Customer Name</t>
  </si>
  <si>
    <t>Bank</t>
  </si>
  <si>
    <t>Sucursal</t>
  </si>
  <si>
    <t>Address1</t>
  </si>
  <si>
    <t>CP</t>
  </si>
  <si>
    <t>State</t>
  </si>
  <si>
    <t>City</t>
  </si>
  <si>
    <t>Contact Date</t>
  </si>
  <si>
    <t>Contact Time</t>
  </si>
  <si>
    <t>Contact: Day</t>
  </si>
  <si>
    <t>Contact: Month</t>
  </si>
  <si>
    <t>Contact: Quarter</t>
  </si>
  <si>
    <t>Contact: Year</t>
  </si>
  <si>
    <t>Contract Number</t>
  </si>
  <si>
    <t>Tech Manag Unit</t>
  </si>
  <si>
    <t>Task Assignee</t>
  </si>
  <si>
    <t>Assignment Status</t>
  </si>
  <si>
    <t>Owner Manag Unit</t>
  </si>
  <si>
    <t>CRS</t>
  </si>
  <si>
    <t>Territory</t>
  </si>
  <si>
    <t>Task Type</t>
  </si>
  <si>
    <t>Task Status</t>
  </si>
  <si>
    <t>SR Type</t>
  </si>
  <si>
    <t>Sr Status</t>
  </si>
  <si>
    <t>Eta Date</t>
  </si>
  <si>
    <t>Eta Time</t>
  </si>
  <si>
    <t>Effective Date</t>
  </si>
  <si>
    <t>Effective Time</t>
  </si>
  <si>
    <t>Commit Date</t>
  </si>
  <si>
    <t>Commit Time</t>
  </si>
  <si>
    <t>Scheduled Start Date</t>
  </si>
  <si>
    <t>Scheduled End Date</t>
  </si>
  <si>
    <t>Scheduled Start Time</t>
  </si>
  <si>
    <t>Arrive Task Date</t>
  </si>
  <si>
    <t>Arrive Task Time</t>
  </si>
  <si>
    <t>Actual Start Date</t>
  </si>
  <si>
    <t>Actual Start Time</t>
  </si>
  <si>
    <t>Actual End Date</t>
  </si>
  <si>
    <t>Actual End Time</t>
  </si>
  <si>
    <t>Travel Time</t>
  </si>
  <si>
    <t>Wait Time</t>
  </si>
  <si>
    <t>Repair Time</t>
  </si>
  <si>
    <t>Distance</t>
  </si>
  <si>
    <t>Cause1</t>
  </si>
  <si>
    <t>Cause1 Desc</t>
  </si>
  <si>
    <t>Module1</t>
  </si>
  <si>
    <t>Module1 Desc</t>
  </si>
  <si>
    <t>Solution1</t>
  </si>
  <si>
    <t>Solution1 Desc</t>
  </si>
  <si>
    <t>Status Byte1</t>
  </si>
  <si>
    <t>Cause2</t>
  </si>
  <si>
    <t>Cause2 Desc</t>
  </si>
  <si>
    <t>Module2</t>
  </si>
  <si>
    <t>Module2 Desc</t>
  </si>
  <si>
    <t>Solution2</t>
  </si>
  <si>
    <t>Solution2 Desc</t>
  </si>
  <si>
    <t>Status Byte2</t>
  </si>
  <si>
    <t>Pm Checklist</t>
  </si>
  <si>
    <t>Effective=Eta</t>
  </si>
  <si>
    <t>Service Code</t>
  </si>
  <si>
    <t>Debrief Number</t>
  </si>
  <si>
    <t>Note Type Meaning</t>
  </si>
  <si>
    <t>Entered By</t>
  </si>
  <si>
    <t>Days To Next Sr SUM</t>
  </si>
  <si>
    <t>Entered Date</t>
  </si>
  <si>
    <t>Notes</t>
  </si>
  <si>
    <t>EmptySlot</t>
  </si>
  <si>
    <t>407</t>
  </si>
  <si>
    <t>Customer Error</t>
  </si>
  <si>
    <t>707</t>
  </si>
  <si>
    <t>Customer Training</t>
  </si>
  <si>
    <t>446</t>
  </si>
  <si>
    <t>Vandalism</t>
  </si>
  <si>
    <t>460</t>
  </si>
  <si>
    <t>Software - Application</t>
  </si>
  <si>
    <t>461</t>
  </si>
  <si>
    <t>Software - Customer</t>
  </si>
  <si>
    <t>730</t>
  </si>
  <si>
    <t>Reconfigure Settings</t>
  </si>
  <si>
    <t>2942</t>
  </si>
  <si>
    <t>Safe - Lock Mechanism</t>
  </si>
  <si>
    <t>2900</t>
  </si>
  <si>
    <t>Safe - Others</t>
  </si>
  <si>
    <t>731</t>
  </si>
  <si>
    <t>SW Reload</t>
  </si>
  <si>
    <t>753</t>
  </si>
  <si>
    <t>SW Upgrade</t>
  </si>
  <si>
    <t>413</t>
  </si>
  <si>
    <t>Environmental</t>
  </si>
  <si>
    <t>420</t>
  </si>
  <si>
    <t>Jammed Foreign Object</t>
  </si>
  <si>
    <t>732</t>
  </si>
  <si>
    <t>Remove Foreign Object</t>
  </si>
  <si>
    <t>425</t>
  </si>
  <si>
    <t>Media Bad</t>
  </si>
  <si>
    <t>710</t>
  </si>
  <si>
    <t>Drilled (lockout)</t>
  </si>
  <si>
    <t>431</t>
  </si>
  <si>
    <t>Phone / Data Line</t>
  </si>
  <si>
    <t>462</t>
  </si>
  <si>
    <t>Software - Firewall</t>
  </si>
  <si>
    <t>751</t>
  </si>
  <si>
    <t>HW Upgrade</t>
  </si>
  <si>
    <t>426</t>
  </si>
  <si>
    <t>Media Low / Out</t>
  </si>
  <si>
    <t>454</t>
  </si>
  <si>
    <t>Logical Keys</t>
  </si>
  <si>
    <t>762</t>
  </si>
  <si>
    <t>SW Applied Patch / CSD</t>
  </si>
  <si>
    <t>706</t>
  </si>
  <si>
    <t>Communication Configuration</t>
  </si>
  <si>
    <t>464</t>
  </si>
  <si>
    <t>Software - Operating System</t>
  </si>
  <si>
    <t>Aplicativo</t>
  </si>
  <si>
    <t>453</t>
  </si>
  <si>
    <t>Host</t>
  </si>
  <si>
    <t>463</t>
  </si>
  <si>
    <t>Software - Host</t>
  </si>
  <si>
    <t>2946</t>
  </si>
  <si>
    <t>Safe - Hinges</t>
  </si>
  <si>
    <t>476</t>
  </si>
  <si>
    <t>Security Alert</t>
  </si>
  <si>
    <t>Exclusion</t>
  </si>
  <si>
    <t>Cause</t>
  </si>
  <si>
    <t>Solution</t>
  </si>
  <si>
    <t>UPGRADE SOFTWARE</t>
  </si>
  <si>
    <t>Upgrade Software</t>
  </si>
  <si>
    <t>465</t>
  </si>
  <si>
    <t>Software - Other (OEM)</t>
  </si>
  <si>
    <t>471</t>
  </si>
  <si>
    <t>Virus / Trojan</t>
  </si>
  <si>
    <t>2900710</t>
  </si>
  <si>
    <t>2900707</t>
  </si>
  <si>
    <t>2942707</t>
  </si>
  <si>
    <t>2946710</t>
  </si>
  <si>
    <t>2942710</t>
  </si>
  <si>
    <t>2946707</t>
  </si>
  <si>
    <t>Module</t>
  </si>
  <si>
    <t>Code</t>
  </si>
  <si>
    <t>KeyCode</t>
  </si>
  <si>
    <t>Seg. Fisica</t>
  </si>
  <si>
    <t>han golpeado el equipo</t>
  </si>
  <si>
    <t xml:space="preserve">la toma de corriente tiene variacion de voltaje en </t>
  </si>
  <si>
    <t>se encontro una liga de fajilla atorada en el dispensador</t>
  </si>
  <si>
    <t>exceso de polvo en stacker</t>
  </si>
  <si>
    <t>mala dotacion por parte del operador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</si>
</sst>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\-yy;@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indexed="8"/>
      <name val="Arial"/>
      <family val="2"/>
    </font>
    <font>
      <b/>
      <sz val="11"/>
      <color rgb="FF666666"/>
      <name val="Arial"/>
      <family val="2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5F5F5"/>
        <bgColor indexed="64"/>
      </patternFill>
    </fill>
    <fill>
      <patternFill patternType="solid">
        <fgColor rgb="FF7030A0"/>
        <bgColor indexed="64"/>
      </patternFill>
    </fill>
  </fills>
  <borders count="2">
    <border>
      <left/>
      <right/>
      <top/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2">
    <xf numFmtId="0" fontId="0" fillId="0" borderId="0"/>
    <xf numFmtId="0" fontId="2" fillId="0" borderId="0"/>
  </cellStyleXfs>
  <cellXfs count="11">
    <xf numFmtId="0" fontId="0" fillId="0" borderId="0" xfId="0"/>
    <xf numFmtId="0" fontId="4" fillId="0" borderId="0" xfId="0" applyFont="1"/>
    <xf numFmtId="0" fontId="5" fillId="0" borderId="0" xfId="0" applyFont="1" applyAlignment="1">
      <alignment horizontal="center"/>
    </xf>
    <xf numFmtId="0" fontId="5" fillId="0" borderId="0" xfId="0" applyFont="1"/>
    <xf numFmtId="0" fontId="1" fillId="3" borderId="0" xfId="0" applyFont="1" applyFill="1"/>
    <xf numFmtId="0" fontId="1" fillId="3" borderId="0" xfId="0" applyFont="1" applyFill="1" applyAlignment="1">
      <alignment horizontal="center"/>
    </xf>
    <xf numFmtId="0" fontId="3" fillId="2" borderId="1" xfId="0" applyFont="1" applyFill="1" applyBorder="1" applyAlignment="1" applyProtection="1">
      <alignment horizontal="center" vertical="center"/>
      <protection locked="0"/>
    </xf>
    <xf numFmtId="164" fontId="3" fillId="2" borderId="1" xfId="0" applyNumberFormat="1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</cellXfs>
  <cellStyles count="2">
    <cellStyle name="Normal" xfId="0" builtinId="0"/>
    <cellStyle name="Normal 7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CY10"/>
  <sheetViews>
    <sheetView tabSelected="1" zoomScale="80" zoomScaleNormal="80" workbookViewId="0">
      <pane ySplit="1" topLeftCell="A2" activePane="bottomLeft" state="frozen"/>
      <selection activeCell="AB1" sqref="AB1"/>
      <selection pane="bottomLeft" activeCell="BX6" sqref="BX6"/>
    </sheetView>
  </sheetViews>
  <sheetFormatPr defaultColWidth="11.453125" defaultRowHeight="14.5" x14ac:dyDescent="0.35"/>
  <cols>
    <col min="1" max="37" width="0.81640625" style="9" customWidth="1"/>
    <col min="38" max="38" width="0.81640625" style="10" customWidth="1"/>
    <col min="39" max="77" width="0.81640625" style="9" customWidth="1"/>
    <col min="78" max="78" width="25.36328125" style="9" customWidth="1"/>
    <col min="79" max="79" width="13.81640625" style="2" hidden="1" customWidth="1"/>
    <col min="80" max="81" width="10.26953125" style="3" hidden="1" customWidth="1"/>
    <col min="82" max="82" width="19" style="3" customWidth="1"/>
    <col min="83" max="94" width="2" style="3" customWidth="1"/>
    <col min="95" max="95" width="25.26953125" style="3" customWidth="1"/>
    <col min="96" max="97" width="1.81640625" style="3" customWidth="1"/>
    <col min="98" max="100" width="10" style="3" customWidth="1"/>
  </cols>
  <sheetData>
    <row r="1" spans="1:103" ht="15" thickBot="1" x14ac:dyDescent="0.4">
      <c r="A1" s="6" t="s">
        <v>13</v>
      </c>
      <c r="B1" s="6" t="s">
        <v>14</v>
      </c>
      <c r="C1" s="6" t="s">
        <v>15</v>
      </c>
      <c r="D1" s="6" t="s">
        <v>16</v>
      </c>
      <c r="E1" s="6" t="s">
        <v>17</v>
      </c>
      <c r="F1" s="6" t="s">
        <v>18</v>
      </c>
      <c r="G1" s="6" t="s">
        <v>19</v>
      </c>
      <c r="H1" s="6" t="s">
        <v>20</v>
      </c>
      <c r="I1" s="6" t="s">
        <v>21</v>
      </c>
      <c r="J1" s="6" t="s">
        <v>22</v>
      </c>
      <c r="K1" s="6" t="s">
        <v>23</v>
      </c>
      <c r="L1" s="6" t="s">
        <v>24</v>
      </c>
      <c r="M1" s="6" t="s">
        <v>25</v>
      </c>
      <c r="N1" s="6" t="s">
        <v>26</v>
      </c>
      <c r="O1" s="6" t="s">
        <v>27</v>
      </c>
      <c r="P1" s="6" t="s">
        <v>28</v>
      </c>
      <c r="Q1" s="6" t="s">
        <v>29</v>
      </c>
      <c r="R1" s="6" t="s">
        <v>30</v>
      </c>
      <c r="S1" s="6" t="s">
        <v>31</v>
      </c>
      <c r="T1" s="6" t="s">
        <v>32</v>
      </c>
      <c r="U1" s="6" t="s">
        <v>33</v>
      </c>
      <c r="V1" s="6" t="s">
        <v>34</v>
      </c>
      <c r="W1" s="6" t="s">
        <v>35</v>
      </c>
      <c r="X1" s="6" t="s">
        <v>36</v>
      </c>
      <c r="Y1" s="6" t="s">
        <v>37</v>
      </c>
      <c r="Z1" s="6" t="s">
        <v>38</v>
      </c>
      <c r="AA1" s="6" t="s">
        <v>39</v>
      </c>
      <c r="AB1" s="6" t="s">
        <v>40</v>
      </c>
      <c r="AC1" s="6" t="s">
        <v>41</v>
      </c>
      <c r="AD1" s="6" t="s">
        <v>42</v>
      </c>
      <c r="AE1" s="6" t="s">
        <v>43</v>
      </c>
      <c r="AF1" s="6" t="s">
        <v>44</v>
      </c>
      <c r="AG1" s="6" t="s">
        <v>45</v>
      </c>
      <c r="AH1" s="6" t="s">
        <v>46</v>
      </c>
      <c r="AI1" s="6" t="s">
        <v>47</v>
      </c>
      <c r="AJ1" s="6" t="s">
        <v>48</v>
      </c>
      <c r="AK1" s="6" t="s">
        <v>49</v>
      </c>
      <c r="AL1" s="7" t="s">
        <v>50</v>
      </c>
      <c r="AM1" s="6" t="s">
        <v>51</v>
      </c>
      <c r="AN1" s="6" t="s">
        <v>52</v>
      </c>
      <c r="AO1" s="6" t="s">
        <v>53</v>
      </c>
      <c r="AP1" s="6" t="s">
        <v>54</v>
      </c>
      <c r="AQ1" s="6" t="s">
        <v>55</v>
      </c>
      <c r="AR1" s="6" t="s">
        <v>56</v>
      </c>
      <c r="AS1" s="6" t="s">
        <v>57</v>
      </c>
      <c r="AT1" s="6" t="s">
        <v>58</v>
      </c>
      <c r="AU1" s="6" t="s">
        <v>59</v>
      </c>
      <c r="AV1" s="6" t="s">
        <v>60</v>
      </c>
      <c r="AW1" s="6" t="s">
        <v>61</v>
      </c>
      <c r="AX1" s="6" t="s">
        <v>62</v>
      </c>
      <c r="AY1" s="6" t="s">
        <v>63</v>
      </c>
      <c r="AZ1" s="6" t="s">
        <v>64</v>
      </c>
      <c r="BA1" s="6" t="s">
        <v>65</v>
      </c>
      <c r="BB1" s="6" t="s">
        <v>66</v>
      </c>
      <c r="BC1" s="6" t="s">
        <v>67</v>
      </c>
      <c r="BD1" s="6" t="s">
        <v>68</v>
      </c>
      <c r="BE1" s="6" t="s">
        <v>69</v>
      </c>
      <c r="BF1" s="6" t="s">
        <v>70</v>
      </c>
      <c r="BG1" s="6" t="s">
        <v>71</v>
      </c>
      <c r="BH1" s="6" t="s">
        <v>72</v>
      </c>
      <c r="BI1" s="6" t="s">
        <v>73</v>
      </c>
      <c r="BJ1" s="6" t="s">
        <v>74</v>
      </c>
      <c r="BK1" s="6" t="s">
        <v>75</v>
      </c>
      <c r="BL1" s="6" t="s">
        <v>76</v>
      </c>
      <c r="BM1" s="6" t="s">
        <v>77</v>
      </c>
      <c r="BN1" s="6" t="s">
        <v>78</v>
      </c>
      <c r="BO1" s="6" t="s">
        <v>79</v>
      </c>
      <c r="BP1" s="6" t="s">
        <v>80</v>
      </c>
      <c r="BQ1" s="6" t="s">
        <v>81</v>
      </c>
      <c r="BR1" s="6" t="s">
        <v>82</v>
      </c>
      <c r="BS1" s="6" t="s">
        <v>83</v>
      </c>
      <c r="BT1" s="6" t="s">
        <v>84</v>
      </c>
      <c r="BU1" s="6" t="s">
        <v>85</v>
      </c>
      <c r="BV1" s="6" t="s">
        <v>86</v>
      </c>
      <c r="BW1" s="6" t="s">
        <v>87</v>
      </c>
      <c r="BX1" s="6" t="s">
        <v>88</v>
      </c>
      <c r="BY1" s="6" t="s">
        <v>89</v>
      </c>
      <c r="BZ1" s="8" t="s">
        <v>90</v>
      </c>
      <c r="CA1" s="5" t="s">
        <v>0</v>
      </c>
      <c r="CB1" s="4" t="s">
        <v>5</v>
      </c>
      <c r="CC1" s="4" t="s">
        <v>4</v>
      </c>
      <c r="CD1" s="4" t="s">
        <v>6</v>
      </c>
      <c r="CE1" s="4" t="s">
        <v>91</v>
      </c>
      <c r="CF1" s="4" t="s">
        <v>91</v>
      </c>
      <c r="CG1" s="4" t="s">
        <v>91</v>
      </c>
      <c r="CH1" s="4" t="s">
        <v>91</v>
      </c>
      <c r="CI1" s="4" t="s">
        <v>91</v>
      </c>
      <c r="CJ1" s="4" t="s">
        <v>91</v>
      </c>
      <c r="CK1" s="4" t="s">
        <v>91</v>
      </c>
      <c r="CL1" s="4" t="s">
        <v>91</v>
      </c>
      <c r="CM1" s="4" t="s">
        <v>91</v>
      </c>
      <c r="CN1" s="4" t="s">
        <v>91</v>
      </c>
      <c r="CO1" s="4" t="s">
        <v>91</v>
      </c>
      <c r="CP1" s="4" t="s">
        <v>91</v>
      </c>
      <c r="CQ1" s="4" t="s">
        <v>7</v>
      </c>
      <c r="CR1" s="4" t="s">
        <v>91</v>
      </c>
      <c r="CS1" s="4" t="s">
        <v>91</v>
      </c>
      <c r="CT1" s="4" t="s">
        <v>12</v>
      </c>
      <c r="CU1" s="4" t="s">
        <v>11</v>
      </c>
      <c r="CV1" s="4" t="s">
        <v>1</v>
      </c>
    </row>
    <row r="2" spans="1:103" x14ac:dyDescent="0.35">
      <c r="AL2" s="9"/>
      <c r="BZ2" s="9" t="s">
        <v>167</v>
      </c>
      <c r="CA2" s="2" t="str">
        <f>IFERROR(MID(F2,IFERROR(SEARCH("i1",F2),IFERROR(SEARCH("i2",F2),IFERROR(SEARCH("i3",F2), IFERROR(SEARCH("i4",F2),IFERROR(SEARCH("i5",F2),IFERROR(SEARCH("i6",F2),IFERROR(SEARCH("i7",F2),IFERROR(SEARCH("i8",F2), IFERROR(SEARCH("i9",F2),IFERROR(SEARCH("D1",F2),IFERROR(SEARCH("D2",F2),IFERROR(SEARCH("D3",F2), IFERROR(SEARCH("D4",F2),IFERROR(SEARCH("D5",F2),IFERROR(SEARCH("D6",F2),IFERROR(SEARCH("D7",F2),IFERROR(SEARCH("D8",F2), IFERROR(SEARCH("D9",F2), IFERROR(SEARCH("D0",F2), IFERROR(SEARCH("I0",F2),"-")))))))))))))))))))),6),IFERROR(MID(K2,IFERROR(SEARCH("i1",K2),IFERROR(SEARCH("i2",K2),IFERROR(SEARCH("i3",K2),IFERROR(SEARCH("i4",K2),IFERROR(SEARCH("i5",K2),IFERROR(SEARCH("i6",K2),IFERROR(SEARCH("i7",K2),IFERROR(SEARCH("i8",K2),IFERROR(SEARCH("i9",K2),IFERROR(SEARCH("D1",K2),IFERROR(SEARCH("D2",K2),IFERROR(SEARCH("D3",K2),IFERROR(SEARCH("D4",K2),IFERROR(SEARCH("D5",K2),IFERROR(SEARCH("D6",K2),IFERROR(SEARCH("D7",K2),IFERROR(SEARCH("D8",K2),IFERROR(SEARCH("D9",K2),IFERROR(SEARCH("D0",K2),IFERROR(SEARCH("I0",K2),"-")))))))))))))))))))),6),IFERROR(MID(BZ2,IFERROR(SEARCH("i1",BZ2),IFERROR(SEARCH("i2",BZ2),IFERROR(SEARCH("i3",BZ2), IFERROR(SEARCH("i4",BZ2),IFERROR(SEARCH("i5",BZ2),IFERROR(SEARCH("i6",BZ2),IFERROR(SEARCH("i7",BZ2),IFERROR(SEARCH("i8",BZ2), IFERROR(SEARCH("i9",BZ2),IFERROR(SEARCH("D1",BZ2),IFERROR(SEARCH("D2",BZ2),IFERROR(SEARCH("D3",BZ2), IFERROR(SEARCH("D4",BZ2),IFERROR(SEARCH("D5",BZ2),IFERROR(SEARCH("D6",BZ2),IFERROR(SEARCH("D7",BZ2),IFERROR(SEARCH("D8",BZ2), IFERROR(SEARCH("D9",BZ2), IFERROR(SEARCH("D0",BZ2), IFERROR(SEARCH("I0",BZ2),"-")))))))))))))))))))),6),"-")))</f>
        <v>-</v>
      </c>
      <c r="CB2" s="3" t="str">
        <f>IFERROR(IF(AND(ISERROR(SEARCH("Uso normal",BZ2,1)),ISERROR(SEARCH("uso norml",BZ2,1))),IF(IF(ISERROR(SEARCH("kit antivandal",BZ2,1)),AND(ISERROR(SEARCH("vandal",BZ2,1)),ISERROR(SEARCH("bandal",BZ2,1)),ISERROR(SEARCH("golpeado",BZ2,1)),ISERROR(SEARCH("introdujo objeto",BZ2,1)),ISERROR(SEARCH("con golpe",BZ2,1))),"VERDADERO"),IF(AND(ISERROR(SEARCH("apagon",BZ2,1)),ISERROR(SEARCH("apagón",BZ2,1)),ISERROR(SEARCH("varia",MID(BZ2,MAX(SEARCH("energia",BZ2,1)-20,1),50),1)),ISERROR(SEARCH("varia",MID(BZ2,MAX(SEARCH("voltaje",BZ2,1)-20,1),50),1)),ISERROR(SEARCH("problema",MID(BZ2,MAX(SEARCH(" electric",BZ2,1)-30,1),70),1)),ISERROR(SEARCH(" roedor",BZ2,1)),ISERROR(SEARCH(" raton",BZ2,1)),ISERROR(SEARCH("plaga",BZ2,1)),ISERROR(SEARCH(" rata",BZ2,1)),ISERROR(SEARCH("hormigas",BZ2,1)),ISERROR(SEARCH("gotera",BZ2,1)),ISERROR(SEARCH("mucha tierra",BZ2,1)),ISERROR(SEARCH("conexiones invertidas",BZ2,1)),ISERROR(SEARCH("polaridad esta mal",BZ2,1)),ISERROR(SEARCH("se quemo un transformador",BZ2,1)),ISERROR(SEARCH("descargas electricas",BZ2,1)),ISERROR(SEARCH("varia",MID(BZ2,MAX(SEARCH("voltage",BZ2,1)-30,1),60),1)),ISERROR(SEARCH("VOLTAJES ELVADOS",BZ2,1)),ISERROR(SEARCH("VOLTAGES ELVADOS",BZ2,1)),ISERROR(SEARCH("capacitores inflados",BZ2,1)),ISERROR(SEARCH("exeso de polvo",BZ2,1)),ISERROR(SEARCH("inundo",BZ2,1)),ISERROR(SEARCH("inunda",BZ2,1)),ISERROR(SEARCH("polaridad invertida",BZ2,1)),ISERROR(SEARCH("falla",MID(BZ2,MAX(SEARCH("energia",BZ2,1)-20,1),50),1)),ISERROR(SEARCH("cort",MID(BZ2,MAX(SEARCH("energia",BZ2,1)-20,1),50),1))),IF(AND(ISERROR(SEARCH("Mala operac",BZ2,1)),ISERROR(SEARCH("Mal operac",BZ2,1)),NOT(AND(NOT(ISERROR(SEARCH("fuera",MID(BZ2,MAX(SEARCH("stacker",BZ2,1)-20,1),50),1))),NOT(ISERROR(SEARCH("posicion",MID(BZ2,MAX(SEARCH("stacker",BZ2,1)-30,1),60),1))))),ISERROR(SEARCH("mala calidad",MID(BZ2,MAX(SEARCH("billete",BZ2,1)-40,1),70),1)),ISERROR(SEARCH("arruga",MID(BZ2,MAX(SEARCH("billete",BZ2,1)-30,1),60),1)),ISERROR(SEARCH("mal estado",MID(BZ2,MAX(SEARCH("billete",BZ2,1)-30,1),60),1)),ISERROR(SEARCH("falla operativa",BZ2,1)),NOT(AND(NOT(ISERROR(SEARCH("tamaño",MID(BZ2,MAX(SEARCH("billete",BZ2,1)-30,1),50),1))),NOT(ISERROR(SEARCH("diferente",MID(BZ2,MAX(SEARCH("billete",BZ2,1)-30,1),50),1))))),NOT(AND(NOT(ISERROR(SEARCH("tamaño",MID(BZ2,MAX(SEARCH("billete",BZ2,1)-30,1),50),1))),NOT(ISERROR(SEARCH("distinto",MID(BZ2,MAX(SEARCH("billete",BZ2,1)-30,1),60),1))))),ISERROR(SEARCH("dotacion inadecuada",BZ2,1)),ISERROR(SEARCH("mala dotacion",BZ2,1)),ISERROR(SEARCH("no tiene efectivo",BZ2,1)),ISERROR(SEARCH("no tiene dinero",BZ2,1)),ISERROR(SEARCH("liga de fajilla atorada",BZ2,1)),ISERROR(SEARCH("liga",MID(BZ2,MAX(SEARCH("fajilla",BZ2,1)-30,1),50),1)),ISERROR(SEARCH("mal manipul",MID(BZ2,MAX(SEARCH("staker",BZ2,1)-40,1),70),1)),ISERROR(SEARCH("mal manipul",MID(BZ2,MAX(SEARCH("stacker",BZ2,1)-40,1),70),1)),ISERROR(SEARCH("stacker fuera de posicion",BZ2,1)),ISERROR(SEARCH("stacker fuera de pocicion",BZ2,1)),NOT(AND(NOT(ISERROR(SEARCH("mala",MID(BZ2,MAX(SEARCH("billete",BZ2,1)-20,1),50),1))),NOT(ISERROR(SEARCH("calidad",MID(BZ2,MAX(SEARCH("billete",BZ2,1)-30,1),60),1))))),NOT(AND(NOT(ISERROR(SEARCH("adecuado",MID(BZ2,MAX(SEARCH("billete",BZ2,1)-30,1),60),1))),NOT(ISERROR(SEARCH("acomodo",MID(BZ2,MAX(SEARCH("billete",BZ2,1)-30,1),60),1)))))),IF(AND(ISERROR(SEARCH("falta de regulador",BZ2,1)),ISERROR(SEARCH("falta de aire acondicionado",BZ2,1)),ISERROR(SEARCH("sin de aire acondicionado",BZ2,1)),ISERROR(SEARCH("sin regulador",BZ2,1)),NOT(AND(NOT(ISERROR(SEARCH("Condiciones",MID(BZ2,MAX(SEARCH("site",BZ2,1)-30,1),60),1))),NOT(ISERROR(SEARCH("inadecua",MID(BZ2,MAX(SEARCH("site",BZ2,1)-30,1),60),1))))),NOT(AND(NOT(ISERROR(SEARCH("necesita",MID(BZ2,MAX(SEARCH("site",BZ2,1)-30,1),60),1))),NOT(ISERROR(SEARCH("adecua",MID(BZ2,MAX(SEARCH("site",BZ2,1)-30,1),60),1)))))),IF(AND(ISERROR(SEARCH("problem",MID(BZ2,MAX(SEARCH("comunicacio",BZ2,1)-30,1),70),1)),NOT(AND(NOT(ISERROR(SEARCH("equipo",MID(BZ2,MAX(SEARCH("comunicac",BZ2,1)-30,1),80),1))),NOT(ISERROR(SEARCH("apagado",MID(BZ2,MAX(SEARCH("comunicac",BZ2,1)-30,1),80),1))))),ISERROR(SEARCH("rojo",MID(BZ2,MAX(SEARCH(" cisco",BZ2,1)-20,1),50),1)),ISERROR(SEARCH("apagado",MID(BZ2,MAX(SEARCH(" cisco",BZ2,1)-30,1),60),1)),ISERROR(SEARCH("apagado",MID(BZ2,MAX(SEARCH(" router",BZ2,1)-30,1),60),1)),NOT(AND(NOT(ISERROR(SEARCH("equipo",MID(BZ2,MAX(SEARCH("comunicac",BZ2,1)-20,1),70),1))),NOT(ISERROR(SEARCH("alarma",MID(BZ2,MAX(SEARCH("comunicac",BZ2,1)-30,1),80),1))))),ISERROR(SEARCH("reinicio",MID(BZ2,MAX(SEARCH("modem",BZ2,1)-30,1),60),1)),ISERROR(SEARCH("rojo",MID(BZ2,MAX(SEARCH("modem",BZ2,1)-20,1),50),1)),ISERROR(SEARCH("no responde",MID(BZ2,MAX(SEARCH(" ethernet",BZ2,1)-30,1),60),1)),ISERROR(SEARCH("fall",MID(BZ2,MAX(SEARCH(" ethernet",BZ2,1)-20,1),50),1)),ISERROR(SEARCH("enlace",MID(BZ2,MAX(SEARCH("satelital",BZ2,1)-30,1),70),1))),IF(IF(AND(NOT(AND(NOT(ISERROR(SEARCH("unicamente",MID(BZ2,MAX(SEARCH("atm en servicio",BZ2,1)-30,1),80),1))),NOT(ISERROR(SEARCH("consulta",MID(BZ2,MAX(SEARCH("atm en servicio",BZ2,1)-20,1),70),1))))),NOT(AND(NOT(ISERROR(SEARCH("solo",MID(BZ2,MAX(SEARCH("atm en servicio",BZ2,1)-20,1),70),1))),NOT(ISERROR(SEARCH("consulta",MID(BZ2,MAX(SEARCH("atm en servicio",BZ2,1)-30,1),80),1))))),ISERROR(SEARCH("sin dispensar",MID(BZ2,MAX(SEARCH("ATM en servicio",BZ2,1)-30,1),80),1))),AND(ISERROR(SEARCH("ATM sin falla",BZ2,1)),ISERROR(SEARCH("cajero sin falla",BZ2,1)),ISERROR(SEARCH("falla",MID(BZ2,MAX(SEARCH("sin encontr",BZ2,1)-20,1),60),1)),ISERROR(SEARCH("falla",MID(BZ2,MAX(SEARCH("No se detec",BZ2,1)-20,1),60),1)),ISERROR(SEARCH("no present",MID(BZ2,MAX(SEARCH("falla",BZ2,1)-30,1),60),1)),ISERROR(SEARCH("equipo no tiene falla",BZ2,1)),ISERROR(SEARCH("sin presentar falla",BZ2,1)),ISERROR(SEARCH("equipo sin falla",BZ2,1)),ISERROR(SEARCH("codigo 00",BZ2,1)),ISERROR(SEARCH("visita en falso",BZ2,1)),ISERROR(SEARCH("sin presentar error",BZ2,1)),ISERROR(SEARCH("no se detecto falla",BZ2,1)),ISERROR(SEARCH("se enc",MID(BZ2,MAX(SEARCH("ATM en servicio",BZ2,1)-30,1),80),1)),NOT(AND(NOT(ISERROR(SEARCH("ATM",MID(BZ2,MAX(SEARCH("se enc",BZ2,1)-20,1),60),1))),NOT(ISERROR(SEARCH("transac",MID(BZ2,MAX(SEARCH("se enc",BZ2,1)-30,1),70),1)))))),"VERDADERO"),"-","ATM sin falla"),"Falla en comunicaciones"),"Condiciones de site"),"Mala operación"),"Siniestro"),"Vandalismo"),"-"),"-")</f>
        <v>Siniestro</v>
      </c>
      <c r="CC2" s="3" t="str">
        <f>IF(AND(ISERROR(SEARCH("dial bloqueado",BZ2,1)),ISERROR(SEARCH("apertura",MID(BZ2,MAX(SEARCH("violencia",BZ2,1)-30,1),70),1))),IFERROR(VLOOKUP(BF2&amp;BH2,'-'!I:N,6,0),IFERROR(VLOOKUP(BD2,'-'!A:C,3,0),IFERROR(VLOOKUP(BH2,'-'!E:G,3,0),"-"))),"Seg. Fisica")</f>
        <v>-</v>
      </c>
      <c r="CD2" s="3" t="str">
        <f>IF(CB2&lt;&gt;"-",CB2,IF(CC2&lt;&gt;"-",CC2,"-"))</f>
        <v>Siniestro</v>
      </c>
      <c r="CE2" s="3" t="s">
        <v>10</v>
      </c>
      <c r="CF2" s="3" t="s">
        <v>10</v>
      </c>
      <c r="CG2" s="3" t="s">
        <v>10</v>
      </c>
      <c r="CH2" s="3" t="s">
        <v>10</v>
      </c>
      <c r="CI2" s="3" t="s">
        <v>10</v>
      </c>
      <c r="CJ2" s="3" t="s">
        <v>10</v>
      </c>
      <c r="CK2" s="3" t="s">
        <v>10</v>
      </c>
      <c r="CL2" s="3" t="s">
        <v>10</v>
      </c>
      <c r="CM2" s="3" t="s">
        <v>10</v>
      </c>
      <c r="CN2" s="3" t="s">
        <v>10</v>
      </c>
      <c r="CO2" s="3" t="s">
        <v>10</v>
      </c>
      <c r="CP2" s="3" t="s">
        <v>10</v>
      </c>
      <c r="CQ2" s="3" t="str">
        <f>IF(CD2="-","-","[_ "&amp;BZ2&amp;" _]")</f>
        <v>[_ la toma de corriente tiene variacion de voltaje en  _]</v>
      </c>
      <c r="CR2" s="3" t="s">
        <v>10</v>
      </c>
      <c r="CS2" s="3" t="s">
        <v>10</v>
      </c>
      <c r="CT2" s="3" t="str">
        <f>CA2&amp;"-"&amp;INT(T2)</f>
        <v>--0</v>
      </c>
      <c r="CU2" s="3" t="str">
        <f>IF(ISERROR(MAX(AX2,AT2,AR2)*1),"-",CA2&amp;"-"&amp;INT(MAX(AX2,AT2,AR2)))</f>
        <v>--0</v>
      </c>
      <c r="CV2" s="3">
        <f>A2</f>
        <v>0</v>
      </c>
    </row>
    <row r="3" spans="1:103" x14ac:dyDescent="0.35">
      <c r="AL3" s="9"/>
      <c r="BZ3" s="9" t="s">
        <v>166</v>
      </c>
      <c r="CA3" s="2" t="str">
        <f>IFERROR(MID(F3,IFERROR(SEARCH("i1",F3),IFERROR(SEARCH("i2",F3),IFERROR(SEARCH("i3",F3), IFERROR(SEARCH("i4",F3),IFERROR(SEARCH("i5",F3),IFERROR(SEARCH("i6",F3),IFERROR(SEARCH("i7",F3),IFERROR(SEARCH("i8",F3), IFERROR(SEARCH("i9",F3),IFERROR(SEARCH("D1",F3),IFERROR(SEARCH("D2",F3),IFERROR(SEARCH("D3",F3), IFERROR(SEARCH("D4",F3),IFERROR(SEARCH("D5",F3),IFERROR(SEARCH("D6",F3),IFERROR(SEARCH("D7",F3),IFERROR(SEARCH("D8",F3), IFERROR(SEARCH("D9",F3), IFERROR(SEARCH("D0",F3), IFERROR(SEARCH("I0",F3),"-")))))))))))))))))))),6),IFERROR(MID(K3,IFERROR(SEARCH("i1",K3),IFERROR(SEARCH("i2",K3),IFERROR(SEARCH("i3",K3),IFERROR(SEARCH("i4",K3),IFERROR(SEARCH("i5",K3),IFERROR(SEARCH("i6",K3),IFERROR(SEARCH("i7",K3),IFERROR(SEARCH("i8",K3),IFERROR(SEARCH("i9",K3),IFERROR(SEARCH("D1",K3),IFERROR(SEARCH("D2",K3),IFERROR(SEARCH("D3",K3),IFERROR(SEARCH("D4",K3),IFERROR(SEARCH("D5",K3),IFERROR(SEARCH("D6",K3),IFERROR(SEARCH("D7",K3),IFERROR(SEARCH("D8",K3),IFERROR(SEARCH("D9",K3),IFERROR(SEARCH("D0",K3),IFERROR(SEARCH("I0",K3),"-")))))))))))))))))))),6),IFERROR(MID(BZ3,IFERROR(SEARCH("i1",BZ3),IFERROR(SEARCH("i2",BZ3),IFERROR(SEARCH("i3",BZ3), IFERROR(SEARCH("i4",BZ3),IFERROR(SEARCH("i5",BZ3),IFERROR(SEARCH("i6",BZ3),IFERROR(SEARCH("i7",BZ3),IFERROR(SEARCH("i8",BZ3), IFERROR(SEARCH("i9",BZ3),IFERROR(SEARCH("D1",BZ3),IFERROR(SEARCH("D2",BZ3),IFERROR(SEARCH("D3",BZ3), IFERROR(SEARCH("D4",BZ3),IFERROR(SEARCH("D5",BZ3),IFERROR(SEARCH("D6",BZ3),IFERROR(SEARCH("D7",BZ3),IFERROR(SEARCH("D8",BZ3), IFERROR(SEARCH("D9",BZ3), IFERROR(SEARCH("D0",BZ3), IFERROR(SEARCH("I0",BZ3),"-")))))))))))))))))))),6),"-")))</f>
        <v>-</v>
      </c>
      <c r="CB3" s="3" t="str">
        <f>IFERROR(IF(AND(ISERROR(SEARCH("Uso normal",BZ3,1)),ISERROR(SEARCH("uso norml",BZ3,1))),IF(IF(ISERROR(SEARCH("kit antivandal",BZ3,1)),AND(ISERROR(SEARCH("vandal",BZ3,1)),ISERROR(SEARCH("bandal",BZ3,1)),ISERROR(SEARCH("golpeado",BZ3,1)),ISERROR(SEARCH("introdujo objeto",BZ3,1)),ISERROR(SEARCH("con golpe",BZ3,1))),"VERDADERO"),IF(AND(ISERROR(SEARCH("apagon",BZ3,1)),ISERROR(SEARCH("apagón",BZ3,1)),ISERROR(SEARCH("varia",MID(BZ3,MAX(SEARCH("energia",BZ3,1)-20,1),50),1)),ISERROR(SEARCH("varia",MID(BZ3,MAX(SEARCH("voltaje",BZ3,1)-20,1),50),1)),ISERROR(SEARCH("problema",MID(BZ3,MAX(SEARCH(" electric",BZ3,1)-30,1),70),1)),ISERROR(SEARCH(" roedor",BZ3,1)),ISERROR(SEARCH(" raton",BZ3,1)),ISERROR(SEARCH("plaga",BZ3,1)),ISERROR(SEARCH(" rata",BZ3,1)),ISERROR(SEARCH("hormigas",BZ3,1)),ISERROR(SEARCH("gotera",BZ3,1)),ISERROR(SEARCH("mucha tierra",BZ3,1)),ISERROR(SEARCH("conexiones invertidas",BZ3,1)),ISERROR(SEARCH("polaridad esta mal",BZ3,1)),ISERROR(SEARCH("se quemo un transformador",BZ3,1)),ISERROR(SEARCH("descargas electricas",BZ3,1)),ISERROR(SEARCH("varia",MID(BZ3,MAX(SEARCH("voltage",BZ3,1)-30,1),60),1)),ISERROR(SEARCH("VOLTAJES ELVADOS",BZ3,1)),ISERROR(SEARCH("VOLTAGES ELVADOS",BZ3,1)),ISERROR(SEARCH("capacitores inflados",BZ3,1)),ISERROR(SEARCH("exeso de polvo",BZ3,1)),ISERROR(SEARCH("inundo",BZ3,1)),ISERROR(SEARCH("inunda",BZ3,1)),ISERROR(SEARCH("polaridad invertida",BZ3,1)),ISERROR(SEARCH("falla",MID(BZ3,MAX(SEARCH("energia",BZ3,1)-20,1),50),1)),ISERROR(SEARCH("cort",MID(BZ3,MAX(SEARCH("energia",BZ3,1)-20,1),50),1))),IF(AND(ISERROR(SEARCH("Mala operac",BZ3,1)),ISERROR(SEARCH("Mal operac",BZ3,1)),NOT(AND(NOT(ISERROR(SEARCH("fuera",MID(BZ3,MAX(SEARCH("stacker",BZ3,1)-20,1),50),1))),NOT(ISERROR(SEARCH("posicion",MID(BZ3,MAX(SEARCH("stacker",BZ3,1)-30,1),60),1))))),ISERROR(SEARCH("mala calidad",MID(BZ3,MAX(SEARCH("billete",BZ3,1)-40,1),70),1)),ISERROR(SEARCH("arruga",MID(BZ3,MAX(SEARCH("billete",BZ3,1)-30,1),60),1)),ISERROR(SEARCH("mal estado",MID(BZ3,MAX(SEARCH("billete",BZ3,1)-30,1),60),1)),ISERROR(SEARCH("falla operativa",BZ3,1)),NOT(AND(NOT(ISERROR(SEARCH("tamaño",MID(BZ3,MAX(SEARCH("billete",BZ3,1)-30,1),50),1))),NOT(ISERROR(SEARCH("diferente",MID(BZ3,MAX(SEARCH("billete",BZ3,1)-30,1),50),1))))),NOT(AND(NOT(ISERROR(SEARCH("tamaño",MID(BZ3,MAX(SEARCH("billete",BZ3,1)-30,1),50),1))),NOT(ISERROR(SEARCH("distinto",MID(BZ3,MAX(SEARCH("billete",BZ3,1)-30,1),60),1))))),ISERROR(SEARCH("dotacion inadecuada",BZ3,1)),ISERROR(SEARCH("mala dotacion",BZ3,1)),ISERROR(SEARCH("no tiene efectivo",BZ3,1)),ISERROR(SEARCH("no tiene dinero",BZ3,1)),ISERROR(SEARCH("liga de fajilla atorada",BZ3,1)),ISERROR(SEARCH("liga",MID(BZ3,MAX(SEARCH("fajilla",BZ3,1)-30,1),50),1)),ISERROR(SEARCH("mal manipul",MID(BZ3,MAX(SEARCH("staker",BZ3,1)-40,1),70),1)),ISERROR(SEARCH("mal manipul",MID(BZ3,MAX(SEARCH("stacker",BZ3,1)-40,1),70),1)),ISERROR(SEARCH("stacker fuera de posicion",BZ3,1)),ISERROR(SEARCH("stacker fuera de pocicion",BZ3,1)),NOT(AND(NOT(ISERROR(SEARCH("mala",MID(BZ3,MAX(SEARCH("billete",BZ3,1)-20,1),50),1))),NOT(ISERROR(SEARCH("calidad",MID(BZ3,MAX(SEARCH("billete",BZ3,1)-30,1),60),1))))),NOT(AND(NOT(ISERROR(SEARCH("adecuado",MID(BZ3,MAX(SEARCH("billete",BZ3,1)-30,1),60),1))),NOT(ISERROR(SEARCH("acomodo",MID(BZ3,MAX(SEARCH("billete",BZ3,1)-30,1),60),1)))))),IF(AND(ISERROR(SEARCH("falta de regulador",BZ3,1)),ISERROR(SEARCH("falta de aire acondicionado",BZ3,1)),ISERROR(SEARCH("sin de aire acondicionado",BZ3,1)),ISERROR(SEARCH("sin regulador",BZ3,1)),NOT(AND(NOT(ISERROR(SEARCH("Condiciones",MID(BZ3,MAX(SEARCH("site",BZ3,1)-30,1),60),1))),NOT(ISERROR(SEARCH("inadecua",MID(BZ3,MAX(SEARCH("site",BZ3,1)-30,1),60),1))))),NOT(AND(NOT(ISERROR(SEARCH("necesita",MID(BZ3,MAX(SEARCH("site",BZ3,1)-30,1),60),1))),NOT(ISERROR(SEARCH("adecua",MID(BZ3,MAX(SEARCH("site",BZ3,1)-30,1),60),1)))))),IF(AND(ISERROR(SEARCH("problem",MID(BZ3,MAX(SEARCH("comunicacio",BZ3,1)-30,1),70),1)),NOT(AND(NOT(ISERROR(SEARCH("equipo",MID(BZ3,MAX(SEARCH("comunicac",BZ3,1)-30,1),80),1))),NOT(ISERROR(SEARCH("apagado",MID(BZ3,MAX(SEARCH("comunicac",BZ3,1)-30,1),80),1))))),ISERROR(SEARCH("rojo",MID(BZ3,MAX(SEARCH(" cisco",BZ3,1)-20,1),50),1)),ISERROR(SEARCH("apagado",MID(BZ3,MAX(SEARCH(" cisco",BZ3,1)-30,1),60),1)),ISERROR(SEARCH("apagado",MID(BZ3,MAX(SEARCH(" router",BZ3,1)-30,1),60),1)),NOT(AND(NOT(ISERROR(SEARCH("equipo",MID(BZ3,MAX(SEARCH("comunicac",BZ3,1)-20,1),70),1))),NOT(ISERROR(SEARCH("alarma",MID(BZ3,MAX(SEARCH("comunicac",BZ3,1)-30,1),80),1))))),ISERROR(SEARCH("reinicio",MID(BZ3,MAX(SEARCH("modem",BZ3,1)-30,1),60),1)),ISERROR(SEARCH("rojo",MID(BZ3,MAX(SEARCH("modem",BZ3,1)-20,1),50),1)),ISERROR(SEARCH("no responde",MID(BZ3,MAX(SEARCH(" ethernet",BZ3,1)-30,1),60),1)),ISERROR(SEARCH("fall",MID(BZ3,MAX(SEARCH(" ethernet",BZ3,1)-20,1),50),1)),ISERROR(SEARCH("enlace",MID(BZ3,MAX(SEARCH("satelital",BZ3,1)-30,1),70),1))),IF(IF(AND(NOT(AND(NOT(ISERROR(SEARCH("unicamente",MID(BZ3,MAX(SEARCH("atm en servicio",BZ3,1)-30,1),80),1))),NOT(ISERROR(SEARCH("consulta",MID(BZ3,MAX(SEARCH("atm en servicio",BZ3,1)-20,1),70),1))))),NOT(AND(NOT(ISERROR(SEARCH("solo",MID(BZ3,MAX(SEARCH("atm en servicio",BZ3,1)-20,1),70),1))),NOT(ISERROR(SEARCH("consulta",MID(BZ3,MAX(SEARCH("atm en servicio",BZ3,1)-30,1),80),1))))),ISERROR(SEARCH("sin dispensar",MID(BZ3,MAX(SEARCH("ATM en servicio",BZ3,1)-30,1),80),1))),AND(ISERROR(SEARCH("ATM sin falla",BZ3,1)),ISERROR(SEARCH("cajero sin falla",BZ3,1)),ISERROR(SEARCH("falla",MID(BZ3,MAX(SEARCH("sin encontr",BZ3,1)-20,1),60),1)),ISERROR(SEARCH("falla",MID(BZ3,MAX(SEARCH("No se detec",BZ3,1)-20,1),60),1)),ISERROR(SEARCH("no present",MID(BZ3,MAX(SEARCH("falla",BZ3,1)-30,1),60),1)),ISERROR(SEARCH("equipo no tiene falla",BZ3,1)),ISERROR(SEARCH("sin presentar falla",BZ3,1)),ISERROR(SEARCH("equipo sin falla",BZ3,1)),ISERROR(SEARCH("codigo 00",BZ3,1)),ISERROR(SEARCH("visita en falso",BZ3,1)),ISERROR(SEARCH("sin presentar error",BZ3,1)),ISERROR(SEARCH("no se detecto falla",BZ3,1)),ISERROR(SEARCH("se enc",MID(BZ3,MAX(SEARCH("ATM en servicio",BZ3,1)-30,1),80),1)),NOT(AND(NOT(ISERROR(SEARCH("ATM",MID(BZ3,MAX(SEARCH("se enc",BZ3,1)-20,1),60),1))),NOT(ISERROR(SEARCH("transac",MID(BZ3,MAX(SEARCH("se enc",BZ3,1)-30,1),70),1)))))),"VERDADERO"),"-","ATM sin falla"),"Falla en comunicaciones"),"Condiciones de site"),"Mala operación"),"Siniestro"),"Vandalismo"),"-"),"-")</f>
        <v>Vandalismo</v>
      </c>
      <c r="CC3" s="3" t="str">
        <f>IF(AND(ISERROR(SEARCH("dial bloqueado",BZ3,1)),ISERROR(SEARCH("apertura",MID(BZ3,MAX(SEARCH("violencia",BZ3,1)-30,1),70),1))),IFERROR(VLOOKUP(BF3&amp;BH3,'-'!I:N,6,0),IFERROR(VLOOKUP(BD3,'-'!A:C,3,0),IFERROR(VLOOKUP(BH3,'-'!E:G,3,0),"-"))),"Seg. Fisica")</f>
        <v>-</v>
      </c>
      <c r="CD3" s="3" t="str">
        <f t="shared" ref="CD3:CD5" si="0">IF(CB3&lt;&gt;"-",CB3,IF(CC3&lt;&gt;"-",CC3,"-"))</f>
        <v>Vandalismo</v>
      </c>
      <c r="CE3" s="3" t="s">
        <v>10</v>
      </c>
      <c r="CF3" s="3" t="s">
        <v>10</v>
      </c>
      <c r="CG3" s="3" t="s">
        <v>10</v>
      </c>
      <c r="CH3" s="3" t="s">
        <v>10</v>
      </c>
      <c r="CI3" s="3" t="s">
        <v>10</v>
      </c>
      <c r="CJ3" s="3" t="s">
        <v>10</v>
      </c>
      <c r="CK3" s="3" t="s">
        <v>10</v>
      </c>
      <c r="CL3" s="3" t="s">
        <v>10</v>
      </c>
      <c r="CM3" s="3" t="s">
        <v>10</v>
      </c>
      <c r="CN3" s="3" t="s">
        <v>10</v>
      </c>
      <c r="CO3" s="3" t="s">
        <v>10</v>
      </c>
      <c r="CP3" s="3" t="s">
        <v>10</v>
      </c>
      <c r="CQ3" s="3" t="str">
        <f>IF(CD3="-","-","[_ "&amp;BZ3&amp;" _]")</f>
        <v>[_ han golpeado el equipo _]</v>
      </c>
      <c r="CR3" s="3" t="s">
        <v>10</v>
      </c>
      <c r="CS3" s="3" t="s">
        <v>10</v>
      </c>
      <c r="CT3" s="3" t="str">
        <f>CA3&amp;"-"&amp;INT(T3)</f>
        <v>--0</v>
      </c>
      <c r="CU3" s="3" t="str">
        <f>IF(ISERROR(MAX(AX3,AT3,AR3)*1),"-",CA3&amp;"-"&amp;INT(MAX(AX3,AT3,AR3)))</f>
        <v>--0</v>
      </c>
      <c r="CV3" s="3">
        <f t="shared" ref="CV3:CV5" si="1">A3</f>
        <v>0</v>
      </c>
      <c r="CX3" s="1"/>
      <c r="CY3" s="1"/>
    </row>
    <row r="4" spans="1:103" x14ac:dyDescent="0.35">
      <c r="AL4" s="9"/>
      <c r="BZ4" s="9" t="s">
        <v>168</v>
      </c>
      <c r="CA4" s="2" t="str">
        <f>IFERROR(MID(F4,IFERROR(SEARCH("i1",F4),IFERROR(SEARCH("i2",F4),IFERROR(SEARCH("i3",F4), IFERROR(SEARCH("i4",F4),IFERROR(SEARCH("i5",F4),IFERROR(SEARCH("i6",F4),IFERROR(SEARCH("i7",F4),IFERROR(SEARCH("i8",F4), IFERROR(SEARCH("i9",F4),IFERROR(SEARCH("D1",F4),IFERROR(SEARCH("D2",F4),IFERROR(SEARCH("D3",F4), IFERROR(SEARCH("D4",F4),IFERROR(SEARCH("D5",F4),IFERROR(SEARCH("D6",F4),IFERROR(SEARCH("D7",F4),IFERROR(SEARCH("D8",F4), IFERROR(SEARCH("D9",F4), IFERROR(SEARCH("D0",F4), IFERROR(SEARCH("I0",F4),"-")))))))))))))))))))),6),IFERROR(MID(K4,IFERROR(SEARCH("i1",K4),IFERROR(SEARCH("i2",K4),IFERROR(SEARCH("i3",K4),IFERROR(SEARCH("i4",K4),IFERROR(SEARCH("i5",K4),IFERROR(SEARCH("i6",K4),IFERROR(SEARCH("i7",K4),IFERROR(SEARCH("i8",K4),IFERROR(SEARCH("i9",K4),IFERROR(SEARCH("D1",K4),IFERROR(SEARCH("D2",K4),IFERROR(SEARCH("D3",K4),IFERROR(SEARCH("D4",K4),IFERROR(SEARCH("D5",K4),IFERROR(SEARCH("D6",K4),IFERROR(SEARCH("D7",K4),IFERROR(SEARCH("D8",K4),IFERROR(SEARCH("D9",K4),IFERROR(SEARCH("D0",K4),IFERROR(SEARCH("I0",K4),"-")))))))))))))))))))),6),IFERROR(MID(BZ4,IFERROR(SEARCH("i1",BZ4),IFERROR(SEARCH("i2",BZ4),IFERROR(SEARCH("i3",BZ4), IFERROR(SEARCH("i4",BZ4),IFERROR(SEARCH("i5",BZ4),IFERROR(SEARCH("i6",BZ4),IFERROR(SEARCH("i7",BZ4),IFERROR(SEARCH("i8",BZ4), IFERROR(SEARCH("i9",BZ4),IFERROR(SEARCH("D1",BZ4),IFERROR(SEARCH("D2",BZ4),IFERROR(SEARCH("D3",BZ4), IFERROR(SEARCH("D4",BZ4),IFERROR(SEARCH("D5",BZ4),IFERROR(SEARCH("D6",BZ4),IFERROR(SEARCH("D7",BZ4),IFERROR(SEARCH("D8",BZ4), IFERROR(SEARCH("D9",BZ4), IFERROR(SEARCH("D0",BZ4), IFERROR(SEARCH("I0",BZ4),"-")))))))))))))))))))),6),"-")))</f>
        <v>-</v>
      </c>
      <c r="CB4" s="3" t="str">
        <f>IFERROR(IF(AND(ISERROR(SEARCH("Uso normal",BZ4,1)),ISERROR(SEARCH("uso norml",BZ4,1))),IF(IF(ISERROR(SEARCH("kit antivandal",BZ4,1)),AND(ISERROR(SEARCH("vandal",BZ4,1)),ISERROR(SEARCH("bandal",BZ4,1)),ISERROR(SEARCH("golpeado",BZ4,1)),ISERROR(SEARCH("introdujo objeto",BZ4,1)),ISERROR(SEARCH("con golpe",BZ4,1))),"VERDADERO"),IF(AND(ISERROR(SEARCH("apagon",BZ4,1)),ISERROR(SEARCH("apagón",BZ4,1)),ISERROR(SEARCH("varia",MID(BZ4,MAX(SEARCH("energia",BZ4,1)-20,1),50),1)),ISERROR(SEARCH("varia",MID(BZ4,MAX(SEARCH("voltaje",BZ4,1)-20,1),50),1)),ISERROR(SEARCH("problema",MID(BZ4,MAX(SEARCH(" electric",BZ4,1)-30,1),70),1)),ISERROR(SEARCH(" roedor",BZ4,1)),ISERROR(SEARCH(" raton",BZ4,1)),ISERROR(SEARCH("plaga",BZ4,1)),ISERROR(SEARCH(" rata",BZ4,1)),ISERROR(SEARCH("hormigas",BZ4,1)),ISERROR(SEARCH("gotera",BZ4,1)),ISERROR(SEARCH("mucha tierra",BZ4,1)),ISERROR(SEARCH("conexiones invertidas",BZ4,1)),ISERROR(SEARCH("polaridad esta mal",BZ4,1)),ISERROR(SEARCH("se quemo un transformador",BZ4,1)),ISERROR(SEARCH("descargas electricas",BZ4,1)),ISERROR(SEARCH("varia",MID(BZ4,MAX(SEARCH("voltage",BZ4,1)-30,1),60),1)),ISERROR(SEARCH("VOLTAJES ELVADOS",BZ4,1)),ISERROR(SEARCH("VOLTAGES ELVADOS",BZ4,1)),ISERROR(SEARCH("capacitores inflados",BZ4,1)),ISERROR(SEARCH("exeso de polvo",BZ4,1)),ISERROR(SEARCH("inundo",BZ4,1)),ISERROR(SEARCH("inunda",BZ4,1)),ISERROR(SEARCH("polaridad invertida",BZ4,1)),ISERROR(SEARCH("falla",MID(BZ4,MAX(SEARCH("energia",BZ4,1)-20,1),50),1)),ISERROR(SEARCH("cort",MID(BZ4,MAX(SEARCH("energia",BZ4,1)-20,1),50),1))),IF(AND(ISERROR(SEARCH("Mala operac",BZ4,1)),ISERROR(SEARCH("Mal operac",BZ4,1)),NOT(AND(NOT(ISERROR(SEARCH("fuera",MID(BZ4,MAX(SEARCH("stacker",BZ4,1)-20,1),50),1))),NOT(ISERROR(SEARCH("posicion",MID(BZ4,MAX(SEARCH("stacker",BZ4,1)-30,1),60),1))))),ISERROR(SEARCH("mala calidad",MID(BZ4,MAX(SEARCH("billete",BZ4,1)-40,1),70),1)),ISERROR(SEARCH("arruga",MID(BZ4,MAX(SEARCH("billete",BZ4,1)-30,1),60),1)),ISERROR(SEARCH("mal estado",MID(BZ4,MAX(SEARCH("billete",BZ4,1)-30,1),60),1)),ISERROR(SEARCH("falla operativa",BZ4,1)),NOT(AND(NOT(ISERROR(SEARCH("tamaño",MID(BZ4,MAX(SEARCH("billete",BZ4,1)-30,1),50),1))),NOT(ISERROR(SEARCH("diferente",MID(BZ4,MAX(SEARCH("billete",BZ4,1)-30,1),50),1))))),NOT(AND(NOT(ISERROR(SEARCH("tamaño",MID(BZ4,MAX(SEARCH("billete",BZ4,1)-30,1),50),1))),NOT(ISERROR(SEARCH("distinto",MID(BZ4,MAX(SEARCH("billete",BZ4,1)-30,1),60),1))))),ISERROR(SEARCH("dotacion inadecuada",BZ4,1)),ISERROR(SEARCH("mala dotacion",BZ4,1)),ISERROR(SEARCH("no tiene efectivo",BZ4,1)),ISERROR(SEARCH("no tiene dinero",BZ4,1)),ISERROR(SEARCH("liga de fajilla atorada",BZ4,1)),ISERROR(SEARCH("liga",MID(BZ4,MAX(SEARCH("fajilla",BZ4,1)-30,1),50),1)),ISERROR(SEARCH("mal manipul",MID(BZ4,MAX(SEARCH("staker",BZ4,1)-40,1),70),1)),ISERROR(SEARCH("mal manipul",MID(BZ4,MAX(SEARCH("stacker",BZ4,1)-40,1),70),1)),ISERROR(SEARCH("stacker fuera de posicion",BZ4,1)),ISERROR(SEARCH("stacker fuera de pocicion",BZ4,1)),NOT(AND(NOT(ISERROR(SEARCH("mala",MID(BZ4,MAX(SEARCH("billete",BZ4,1)-20,1),50),1))),NOT(ISERROR(SEARCH("calidad",MID(BZ4,MAX(SEARCH("billete",BZ4,1)-30,1),60),1))))),NOT(AND(NOT(ISERROR(SEARCH("adecuado",MID(BZ4,MAX(SEARCH("billete",BZ4,1)-30,1),60),1))),NOT(ISERROR(SEARCH("acomodo",MID(BZ4,MAX(SEARCH("billete",BZ4,1)-30,1),60),1)))))),IF(AND(ISERROR(SEARCH("falta de regulador",BZ4,1)),ISERROR(SEARCH("falta de aire acondicionado",BZ4,1)),ISERROR(SEARCH("sin de aire acondicionado",BZ4,1)),ISERROR(SEARCH("sin regulador",BZ4,1)),NOT(AND(NOT(ISERROR(SEARCH("Condiciones",MID(BZ4,MAX(SEARCH("site",BZ4,1)-30,1),60),1))),NOT(ISERROR(SEARCH("inadecua",MID(BZ4,MAX(SEARCH("site",BZ4,1)-30,1),60),1))))),NOT(AND(NOT(ISERROR(SEARCH("necesita",MID(BZ4,MAX(SEARCH("site",BZ4,1)-30,1),60),1))),NOT(ISERROR(SEARCH("adecua",MID(BZ4,MAX(SEARCH("site",BZ4,1)-30,1),60),1)))))),IF(AND(ISERROR(SEARCH("problem",MID(BZ4,MAX(SEARCH("comunicacio",BZ4,1)-30,1),70),1)),NOT(AND(NOT(ISERROR(SEARCH("equipo",MID(BZ4,MAX(SEARCH("comunicac",BZ4,1)-30,1),80),1))),NOT(ISERROR(SEARCH("apagado",MID(BZ4,MAX(SEARCH("comunicac",BZ4,1)-30,1),80),1))))),ISERROR(SEARCH("rojo",MID(BZ4,MAX(SEARCH(" cisco",BZ4,1)-20,1),50),1)),ISERROR(SEARCH("apagado",MID(BZ4,MAX(SEARCH(" cisco",BZ4,1)-30,1),60),1)),ISERROR(SEARCH("apagado",MID(BZ4,MAX(SEARCH(" router",BZ4,1)-30,1),60),1)),NOT(AND(NOT(ISERROR(SEARCH("equipo",MID(BZ4,MAX(SEARCH("comunicac",BZ4,1)-20,1),70),1))),NOT(ISERROR(SEARCH("alarma",MID(BZ4,MAX(SEARCH("comunicac",BZ4,1)-30,1),80),1))))),ISERROR(SEARCH("reinicio",MID(BZ4,MAX(SEARCH("modem",BZ4,1)-30,1),60),1)),ISERROR(SEARCH("rojo",MID(BZ4,MAX(SEARCH("modem",BZ4,1)-20,1),50),1)),ISERROR(SEARCH("no responde",MID(BZ4,MAX(SEARCH(" ethernet",BZ4,1)-30,1),60),1)),ISERROR(SEARCH("fall",MID(BZ4,MAX(SEARCH(" ethernet",BZ4,1)-20,1),50),1)),ISERROR(SEARCH("enlace",MID(BZ4,MAX(SEARCH("satelital",BZ4,1)-30,1),70),1))),IF(IF(AND(NOT(AND(NOT(ISERROR(SEARCH("unicamente",MID(BZ4,MAX(SEARCH("atm en servicio",BZ4,1)-30,1),80),1))),NOT(ISERROR(SEARCH("consulta",MID(BZ4,MAX(SEARCH("atm en servicio",BZ4,1)-20,1),70),1))))),NOT(AND(NOT(ISERROR(SEARCH("solo",MID(BZ4,MAX(SEARCH("atm en servicio",BZ4,1)-20,1),70),1))),NOT(ISERROR(SEARCH("consulta",MID(BZ4,MAX(SEARCH("atm en servicio",BZ4,1)-30,1),80),1))))),ISERROR(SEARCH("sin dispensar",MID(BZ4,MAX(SEARCH("ATM en servicio",BZ4,1)-30,1),80),1))),AND(ISERROR(SEARCH("ATM sin falla",BZ4,1)),ISERROR(SEARCH("cajero sin falla",BZ4,1)),ISERROR(SEARCH("falla",MID(BZ4,MAX(SEARCH("sin encontr",BZ4,1)-20,1),60),1)),ISERROR(SEARCH("falla",MID(BZ4,MAX(SEARCH("No se detec",BZ4,1)-20,1),60),1)),ISERROR(SEARCH("no present",MID(BZ4,MAX(SEARCH("falla",BZ4,1)-30,1),60),1)),ISERROR(SEARCH("equipo no tiene falla",BZ4,1)),ISERROR(SEARCH("sin presentar falla",BZ4,1)),ISERROR(SEARCH("equipo sin falla",BZ4,1)),ISERROR(SEARCH("codigo 00",BZ4,1)),ISERROR(SEARCH("visita en falso",BZ4,1)),ISERROR(SEARCH("sin presentar error",BZ4,1)),ISERROR(SEARCH("no se detecto falla",BZ4,1)),ISERROR(SEARCH("se enc",MID(BZ4,MAX(SEARCH("ATM en servicio",BZ4,1)-30,1),80),1)),NOT(AND(NOT(ISERROR(SEARCH("ATM",MID(BZ4,MAX(SEARCH("se enc",BZ4,1)-20,1),60),1))),NOT(ISERROR(SEARCH("transac",MID(BZ4,MAX(SEARCH("se enc",BZ4,1)-30,1),70),1)))))),"VERDADERO"),"-","ATM sin falla"),"Falla en comunicaciones"),"Condiciones de site"),"Mala operación"),"Siniestro"),"Vandalismo"),"-"),"-")</f>
        <v>Mala operación</v>
      </c>
      <c r="CC4" s="3" t="str">
        <f>IF(AND(ISERROR(SEARCH("dial bloqueado",BZ4,1)),ISERROR(SEARCH("apertura",MID(BZ4,MAX(SEARCH("violencia",BZ4,1)-30,1),70),1))),IFERROR(VLOOKUP(BF4&amp;BH4,'-'!I:N,6,0),IFERROR(VLOOKUP(BD4,'-'!A:C,3,0),IFERROR(VLOOKUP(BH4,'-'!E:G,3,0),"-"))),"Seg. Fisica")</f>
        <v>-</v>
      </c>
      <c r="CD4" s="3" t="str">
        <f t="shared" si="0"/>
        <v>Mala operación</v>
      </c>
      <c r="CE4" s="3" t="s">
        <v>10</v>
      </c>
      <c r="CF4" s="3" t="s">
        <v>10</v>
      </c>
      <c r="CG4" s="3" t="s">
        <v>10</v>
      </c>
      <c r="CH4" s="3" t="s">
        <v>10</v>
      </c>
      <c r="CI4" s="3" t="s">
        <v>10</v>
      </c>
      <c r="CJ4" s="3" t="s">
        <v>10</v>
      </c>
      <c r="CK4" s="3" t="s">
        <v>10</v>
      </c>
      <c r="CL4" s="3" t="s">
        <v>10</v>
      </c>
      <c r="CM4" s="3" t="s">
        <v>10</v>
      </c>
      <c r="CN4" s="3" t="s">
        <v>10</v>
      </c>
      <c r="CO4" s="3" t="s">
        <v>10</v>
      </c>
      <c r="CP4" s="3" t="s">
        <v>10</v>
      </c>
      <c r="CQ4" s="3" t="str">
        <f>IF(CD4="-","-","[_ "&amp;BZ4&amp;" _]")</f>
        <v>[_ se encontro una liga de fajilla atorada en el dispensador _]</v>
      </c>
      <c r="CR4" s="3" t="s">
        <v>10</v>
      </c>
      <c r="CS4" s="3" t="s">
        <v>10</v>
      </c>
      <c r="CT4" s="3" t="str">
        <f>CA4&amp;"-"&amp;INT(T4)</f>
        <v>--0</v>
      </c>
      <c r="CU4" s="3" t="str">
        <f>IF(ISERROR(MAX(AX4,AT4,AR4)*1),"-",CA4&amp;"-"&amp;INT(MAX(AX4,AT4,AR4)))</f>
        <v>--0</v>
      </c>
      <c r="CV4" s="3">
        <f t="shared" si="1"/>
        <v>0</v>
      </c>
      <c r="CX4" s="1"/>
      <c r="CY4" s="1"/>
    </row>
    <row r="5" spans="1:103" x14ac:dyDescent="0.35">
      <c r="AL5" s="9"/>
      <c r="BZ5" s="9" t="s">
        <v>169</v>
      </c>
      <c r="CA5" s="2" t="str">
        <f>IFERROR(MID(F5,IFERROR(SEARCH("i1",F5),IFERROR(SEARCH("i2",F5),IFERROR(SEARCH("i3",F5), IFERROR(SEARCH("i4",F5),IFERROR(SEARCH("i5",F5),IFERROR(SEARCH("i6",F5),IFERROR(SEARCH("i7",F5),IFERROR(SEARCH("i8",F5), IFERROR(SEARCH("i9",F5),IFERROR(SEARCH("D1",F5),IFERROR(SEARCH("D2",F5),IFERROR(SEARCH("D3",F5), IFERROR(SEARCH("D4",F5),IFERROR(SEARCH("D5",F5),IFERROR(SEARCH("D6",F5),IFERROR(SEARCH("D7",F5),IFERROR(SEARCH("D8",F5), IFERROR(SEARCH("D9",F5), IFERROR(SEARCH("D0",F5), IFERROR(SEARCH("I0",F5),"-")))))))))))))))))))),6),IFERROR(MID(K5,IFERROR(SEARCH("i1",K5),IFERROR(SEARCH("i2",K5),IFERROR(SEARCH("i3",K5),IFERROR(SEARCH("i4",K5),IFERROR(SEARCH("i5",K5),IFERROR(SEARCH("i6",K5),IFERROR(SEARCH("i7",K5),IFERROR(SEARCH("i8",K5),IFERROR(SEARCH("i9",K5),IFERROR(SEARCH("D1",K5),IFERROR(SEARCH("D2",K5),IFERROR(SEARCH("D3",K5),IFERROR(SEARCH("D4",K5),IFERROR(SEARCH("D5",K5),IFERROR(SEARCH("D6",K5),IFERROR(SEARCH("D7",K5),IFERROR(SEARCH("D8",K5),IFERROR(SEARCH("D9",K5),IFERROR(SEARCH("D0",K5),IFERROR(SEARCH("I0",K5),"-")))))))))))))))))))),6),IFERROR(MID(BZ5,IFERROR(SEARCH("i1",BZ5),IFERROR(SEARCH("i2",BZ5),IFERROR(SEARCH("i3",BZ5), IFERROR(SEARCH("i4",BZ5),IFERROR(SEARCH("i5",BZ5),IFERROR(SEARCH("i6",BZ5),IFERROR(SEARCH("i7",BZ5),IFERROR(SEARCH("i8",BZ5), IFERROR(SEARCH("i9",BZ5),IFERROR(SEARCH("D1",BZ5),IFERROR(SEARCH("D2",BZ5),IFERROR(SEARCH("D3",BZ5), IFERROR(SEARCH("D4",BZ5),IFERROR(SEARCH("D5",BZ5),IFERROR(SEARCH("D6",BZ5),IFERROR(SEARCH("D7",BZ5),IFERROR(SEARCH("D8",BZ5), IFERROR(SEARCH("D9",BZ5), IFERROR(SEARCH("D0",BZ5), IFERROR(SEARCH("I0",BZ5),"-")))))))))))))))))))),6),"-")))</f>
        <v>-</v>
      </c>
      <c r="CB5" s="3" t="str">
        <f>IFERROR(IF(AND(ISERROR(SEARCH("Uso normal",BZ5,1)),ISERROR(SEARCH("uso norml",BZ5,1))),IF(IF(ISERROR(SEARCH("kit antivandal",BZ5,1)),AND(ISERROR(SEARCH("vandal",BZ5,1)),ISERROR(SEARCH("bandal",BZ5,1)),ISERROR(SEARCH("golpeado",BZ5,1)),ISERROR(SEARCH("introdujo objeto",BZ5,1)),ISERROR(SEARCH("con golpe",BZ5,1))),"VERDADERO"),IF(AND(ISERROR(SEARCH("apagon",BZ5,1)),ISERROR(SEARCH("apagón",BZ5,1)),ISERROR(SEARCH("varia",MID(BZ5,MAX(SEARCH("energia",BZ5,1)-20,1),50),1)),ISERROR(SEARCH("varia",MID(BZ5,MAX(SEARCH("voltaje",BZ5,1)-20,1),50),1)),ISERROR(SEARCH("problema",MID(BZ5,MAX(SEARCH(" electric",BZ5,1)-30,1),70),1)),ISERROR(SEARCH(" roedor",BZ5,1)),ISERROR(SEARCH(" raton",BZ5,1)),ISERROR(SEARCH("plaga",BZ5,1)),ISERROR(SEARCH(" rata",BZ5,1)),ISERROR(SEARCH("hormigas",BZ5,1)),ISERROR(SEARCH("gotera",BZ5,1)),ISERROR(SEARCH("mucha tierra",BZ5,1)),ISERROR(SEARCH("conexiones invertidas",BZ5,1)),ISERROR(SEARCH("polaridad esta mal",BZ5,1)),ISERROR(SEARCH("se quemo un transformador",BZ5,1)),ISERROR(SEARCH("descargas electricas",BZ5,1)),ISERROR(SEARCH("varia",MID(BZ5,MAX(SEARCH("voltage",BZ5,1)-30,1),60),1)),ISERROR(SEARCH("VOLTAJES ELVADOS",BZ5,1)),ISERROR(SEARCH("VOLTAGES ELVADOS",BZ5,1)),ISERROR(SEARCH("capacitores inflados",BZ5,1)),ISERROR(SEARCH("exeso de polvo",BZ5,1)),ISERROR(SEARCH("inundo",BZ5,1)),ISERROR(SEARCH("inunda",BZ5,1)),ISERROR(SEARCH("polaridad invertida",BZ5,1)),ISERROR(SEARCH("falla",MID(BZ5,MAX(SEARCH("energia",BZ5,1)-20,1),50),1)),ISERROR(SEARCH("cort",MID(BZ5,MAX(SEARCH("energia",BZ5,1)-20,1),50),1))),IF(AND(ISERROR(SEARCH("Mala operac",BZ5,1)),ISERROR(SEARCH("Mal operac",BZ5,1)),NOT(AND(NOT(ISERROR(SEARCH("fuera",MID(BZ5,MAX(SEARCH("stacker",BZ5,1)-20,1),50),1))),NOT(ISERROR(SEARCH("posicion",MID(BZ5,MAX(SEARCH("stacker",BZ5,1)-30,1),60),1))))),ISERROR(SEARCH("mala calidad",MID(BZ5,MAX(SEARCH("billete",BZ5,1)-40,1),70),1)),ISERROR(SEARCH("arruga",MID(BZ5,MAX(SEARCH("billete",BZ5,1)-30,1),60),1)),ISERROR(SEARCH("mal estado",MID(BZ5,MAX(SEARCH("billete",BZ5,1)-30,1),60),1)),ISERROR(SEARCH("falla operativa",BZ5,1)),NOT(AND(NOT(ISERROR(SEARCH("tamaño",MID(BZ5,MAX(SEARCH("billete",BZ5,1)-30,1),50),1))),NOT(ISERROR(SEARCH("diferente",MID(BZ5,MAX(SEARCH("billete",BZ5,1)-30,1),50),1))))),NOT(AND(NOT(ISERROR(SEARCH("tamaño",MID(BZ5,MAX(SEARCH("billete",BZ5,1)-30,1),50),1))),NOT(ISERROR(SEARCH("distinto",MID(BZ5,MAX(SEARCH("billete",BZ5,1)-30,1),60),1))))),ISERROR(SEARCH("dotacion inadecuada",BZ5,1)),ISERROR(SEARCH("mala dotacion",BZ5,1)),ISERROR(SEARCH("no tiene efectivo",BZ5,1)),ISERROR(SEARCH("no tiene dinero",BZ5,1)),ISERROR(SEARCH("liga de fajilla atorada",BZ5,1)),ISERROR(SEARCH("liga",MID(BZ5,MAX(SEARCH("fajilla",BZ5,1)-30,1),50),1)),ISERROR(SEARCH("mal manipul",MID(BZ5,MAX(SEARCH("staker",BZ5,1)-40,1),70),1)),ISERROR(SEARCH("mal manipul",MID(BZ5,MAX(SEARCH("stacker",BZ5,1)-40,1),70),1)),ISERROR(SEARCH("stacker fuera de posicion",BZ5,1)),ISERROR(SEARCH("stacker fuera de pocicion",BZ5,1)),NOT(AND(NOT(ISERROR(SEARCH("mala",MID(BZ5,MAX(SEARCH("billete",BZ5,1)-20,1),50),1))),NOT(ISERROR(SEARCH("calidad",MID(BZ5,MAX(SEARCH("billete",BZ5,1)-30,1),60),1))))),NOT(AND(NOT(ISERROR(SEARCH("adecuado",MID(BZ5,MAX(SEARCH("billete",BZ5,1)-30,1),60),1))),NOT(ISERROR(SEARCH("acomodo",MID(BZ5,MAX(SEARCH("billete",BZ5,1)-30,1),60),1)))))),IF(AND(ISERROR(SEARCH("falta de regulador",BZ5,1)),ISERROR(SEARCH("falta de aire acondicionado",BZ5,1)),ISERROR(SEARCH("sin de aire acondicionado",BZ5,1)),ISERROR(SEARCH("sin regulador",BZ5,1)),NOT(AND(NOT(ISERROR(SEARCH("Condiciones",MID(BZ5,MAX(SEARCH("site",BZ5,1)-30,1),60),1))),NOT(ISERROR(SEARCH("inadecua",MID(BZ5,MAX(SEARCH("site",BZ5,1)-30,1),60),1))))),NOT(AND(NOT(ISERROR(SEARCH("necesita",MID(BZ5,MAX(SEARCH("site",BZ5,1)-30,1),60),1))),NOT(ISERROR(SEARCH("adecua",MID(BZ5,MAX(SEARCH("site",BZ5,1)-30,1),60),1)))))),IF(AND(ISERROR(SEARCH("problem",MID(BZ5,MAX(SEARCH("comunicacio",BZ5,1)-30,1),70),1)),NOT(AND(NOT(ISERROR(SEARCH("equipo",MID(BZ5,MAX(SEARCH("comunicac",BZ5,1)-30,1),80),1))),NOT(ISERROR(SEARCH("apagado",MID(BZ5,MAX(SEARCH("comunicac",BZ5,1)-30,1),80),1))))),ISERROR(SEARCH("rojo",MID(BZ5,MAX(SEARCH(" cisco",BZ5,1)-20,1),50),1)),ISERROR(SEARCH("apagado",MID(BZ5,MAX(SEARCH(" cisco",BZ5,1)-30,1),60),1)),ISERROR(SEARCH("apagado",MID(BZ5,MAX(SEARCH(" router",BZ5,1)-30,1),60),1)),NOT(AND(NOT(ISERROR(SEARCH("equipo",MID(BZ5,MAX(SEARCH("comunicac",BZ5,1)-20,1),70),1))),NOT(ISERROR(SEARCH("alarma",MID(BZ5,MAX(SEARCH("comunicac",BZ5,1)-30,1),80),1))))),ISERROR(SEARCH("reinicio",MID(BZ5,MAX(SEARCH("modem",BZ5,1)-30,1),60),1)),ISERROR(SEARCH("rojo",MID(BZ5,MAX(SEARCH("modem",BZ5,1)-20,1),50),1)),ISERROR(SEARCH("no responde",MID(BZ5,MAX(SEARCH(" ethernet",BZ5,1)-30,1),60),1)),ISERROR(SEARCH("fall",MID(BZ5,MAX(SEARCH(" ethernet",BZ5,1)-20,1),50),1)),ISERROR(SEARCH("enlace",MID(BZ5,MAX(SEARCH("satelital",BZ5,1)-30,1),70),1))),IF(IF(AND(NOT(AND(NOT(ISERROR(SEARCH("unicamente",MID(BZ5,MAX(SEARCH("atm en servicio",BZ5,1)-30,1),80),1))),NOT(ISERROR(SEARCH("consulta",MID(BZ5,MAX(SEARCH("atm en servicio",BZ5,1)-20,1),70),1))))),NOT(AND(NOT(ISERROR(SEARCH("solo",MID(BZ5,MAX(SEARCH("atm en servicio",BZ5,1)-20,1),70),1))),NOT(ISERROR(SEARCH("consulta",MID(BZ5,MAX(SEARCH("atm en servicio",BZ5,1)-30,1),80),1))))),ISERROR(SEARCH("sin dispensar",MID(BZ5,MAX(SEARCH("ATM en servicio",BZ5,1)-30,1),80),1))),AND(ISERROR(SEARCH("ATM sin falla",BZ5,1)),ISERROR(SEARCH("cajero sin falla",BZ5,1)),ISERROR(SEARCH("falla",MID(BZ5,MAX(SEARCH("sin encontr",BZ5,1)-20,1),60),1)),ISERROR(SEARCH("falla",MID(BZ5,MAX(SEARCH("No se detec",BZ5,1)-20,1),60),1)),ISERROR(SEARCH("no present",MID(BZ5,MAX(SEARCH("falla",BZ5,1)-30,1),60),1)),ISERROR(SEARCH("equipo no tiene falla",BZ5,1)),ISERROR(SEARCH("sin presentar falla",BZ5,1)),ISERROR(SEARCH("equipo sin falla",BZ5,1)),ISERROR(SEARCH("codigo 00",BZ5,1)),ISERROR(SEARCH("visita en falso",BZ5,1)),ISERROR(SEARCH("sin presentar error",BZ5,1)),ISERROR(SEARCH("no se detecto falla",BZ5,1)),ISERROR(SEARCH("se enc",MID(BZ5,MAX(SEARCH("ATM en servicio",BZ5,1)-30,1),80),1)),NOT(AND(NOT(ISERROR(SEARCH("ATM",MID(BZ5,MAX(SEARCH("se enc",BZ5,1)-20,1),60),1))),NOT(ISERROR(SEARCH("transac",MID(BZ5,MAX(SEARCH("se enc",BZ5,1)-30,1),70),1)))))),"VERDADERO"),"-","ATM sin falla"),"Falla en comunicaciones"),"Condiciones de site"),"Mala operación"),"Siniestro"),"Vandalismo"),"-"),"-")</f>
        <v>-</v>
      </c>
      <c r="CC5" s="3" t="str">
        <f>IF(AND(ISERROR(SEARCH("dial bloqueado",BZ5,1)),ISERROR(SEARCH("apertura",MID(BZ5,MAX(SEARCH("violencia",BZ5,1)-30,1),70),1))),IFERROR(VLOOKUP(BF5&amp;BH5,'-'!I:N,6,0),IFERROR(VLOOKUP(BD5,'-'!A:C,3,0),IFERROR(VLOOKUP(BH5,'-'!E:G,3,0),"-"))),"Seg. Fisica")</f>
        <v>-</v>
      </c>
      <c r="CD5" s="3" t="str">
        <f t="shared" si="0"/>
        <v>-</v>
      </c>
      <c r="CE5" s="3" t="s">
        <v>10</v>
      </c>
      <c r="CF5" s="3" t="s">
        <v>10</v>
      </c>
      <c r="CG5" s="3" t="s">
        <v>10</v>
      </c>
      <c r="CH5" s="3" t="s">
        <v>10</v>
      </c>
      <c r="CI5" s="3" t="s">
        <v>10</v>
      </c>
      <c r="CJ5" s="3" t="s">
        <v>10</v>
      </c>
      <c r="CK5" s="3" t="s">
        <v>10</v>
      </c>
      <c r="CL5" s="3" t="s">
        <v>10</v>
      </c>
      <c r="CM5" s="3" t="s">
        <v>10</v>
      </c>
      <c r="CN5" s="3" t="s">
        <v>10</v>
      </c>
      <c r="CO5" s="3" t="s">
        <v>10</v>
      </c>
      <c r="CP5" s="3" t="s">
        <v>10</v>
      </c>
      <c r="CQ5" s="3" t="str">
        <f>IF(CD5="-","-","[_ "&amp;BZ5&amp;" _]")</f>
        <v>-</v>
      </c>
      <c r="CR5" s="3" t="s">
        <v>10</v>
      </c>
      <c r="CS5" s="3" t="s">
        <v>10</v>
      </c>
      <c r="CT5" s="3" t="str">
        <f>CA5&amp;"-"&amp;INT(T5)</f>
        <v>--0</v>
      </c>
      <c r="CU5" s="3" t="str">
        <f>IF(ISERROR(MAX(AX5,AT5,AR5)*1),"-",CA5&amp;"-"&amp;INT(MAX(AX5,AT5,AR5)))</f>
        <v>--0</v>
      </c>
      <c r="CV5" s="3">
        <f t="shared" si="1"/>
        <v>0</v>
      </c>
      <c r="CX5" s="1"/>
      <c r="CY5" s="1"/>
    </row>
    <row r="6" spans="1:103" x14ac:dyDescent="0.35">
      <c r="BZ6" s="9" t="s">
        <v>170</v>
      </c>
      <c r="CA6" s="2" t="str">
        <f>IFERROR(MID(F6,IFERROR(SEARCH("i1",F6),IFERROR(SEARCH("i2",F6),IFERROR(SEARCH("i3",F6), IFERROR(SEARCH("i4",F6),IFERROR(SEARCH("i5",F6),IFERROR(SEARCH("i6",F6),IFERROR(SEARCH("i7",F6),IFERROR(SEARCH("i8",F6), IFERROR(SEARCH("i9",F6),IFERROR(SEARCH("D1",F6),IFERROR(SEARCH("D2",F6),IFERROR(SEARCH("D3",F6), IFERROR(SEARCH("D4",F6),IFERROR(SEARCH("D5",F6),IFERROR(SEARCH("D6",F6),IFERROR(SEARCH("D7",F6),IFERROR(SEARCH("D8",F6), IFERROR(SEARCH("D9",F6), IFERROR(SEARCH("D0",F6), IFERROR(SEARCH("I0",F6),"-")))))))))))))))))))),6),IFERROR(MID(K6,IFERROR(SEARCH("i1",K6),IFERROR(SEARCH("i2",K6),IFERROR(SEARCH("i3",K6),IFERROR(SEARCH("i4",K6),IFERROR(SEARCH("i5",K6),IFERROR(SEARCH("i6",K6),IFERROR(SEARCH("i7",K6),IFERROR(SEARCH("i8",K6),IFERROR(SEARCH("i9",K6),IFERROR(SEARCH("D1",K6),IFERROR(SEARCH("D2",K6),IFERROR(SEARCH("D3",K6),IFERROR(SEARCH("D4",K6),IFERROR(SEARCH("D5",K6),IFERROR(SEARCH("D6",K6),IFERROR(SEARCH("D7",K6),IFERROR(SEARCH("D8",K6),IFERROR(SEARCH("D9",K6),IFERROR(SEARCH("D0",K6),IFERROR(SEARCH("I0",K6),"-")))))))))))))))))))),6),IFERROR(MID(BZ6,IFERROR(SEARCH("i1",BZ6),IFERROR(SEARCH("i2",BZ6),IFERROR(SEARCH("i3",BZ6), IFERROR(SEARCH("i4",BZ6),IFERROR(SEARCH("i5",BZ6),IFERROR(SEARCH("i6",BZ6),IFERROR(SEARCH("i7",BZ6),IFERROR(SEARCH("i8",BZ6), IFERROR(SEARCH("i9",BZ6),IFERROR(SEARCH("D1",BZ6),IFERROR(SEARCH("D2",BZ6),IFERROR(SEARCH("D3",BZ6), IFERROR(SEARCH("D4",BZ6),IFERROR(SEARCH("D5",BZ6),IFERROR(SEARCH("D6",BZ6),IFERROR(SEARCH("D7",BZ6),IFERROR(SEARCH("D8",BZ6), IFERROR(SEARCH("D9",BZ6), IFERROR(SEARCH("D0",BZ6), IFERROR(SEARCH("I0",BZ6),"-")))))))))))))))))))),6),"-")))</f>
        <v>-</v>
      </c>
      <c r="CB6" s="3" t="str">
        <f>IFERROR(IF(AND(ISERROR(SEARCH("Uso normal",BZ6,1)),ISERROR(SEARCH("uso norml",BZ6,1))),IF(IF(ISERROR(SEARCH("kit antivandal",BZ6,1)),AND(ISERROR(SEARCH("vandal",BZ6,1)),ISERROR(SEARCH("bandal",BZ6,1)),ISERROR(SEARCH("golpeado",BZ6,1)),ISERROR(SEARCH("introdujo objeto",BZ6,1)),ISERROR(SEARCH("con golpe",BZ6,1))),"VERDADERO"),IF(AND(ISERROR(SEARCH("apagon",BZ6,1)),ISERROR(SEARCH("apagón",BZ6,1)),ISERROR(SEARCH("varia",MID(BZ6,MAX(SEARCH("energia",BZ6,1)-20,1),50),1)),ISERROR(SEARCH("varia",MID(BZ6,MAX(SEARCH("voltaje",BZ6,1)-20,1),50),1)),ISERROR(SEARCH("problema",MID(BZ6,MAX(SEARCH(" electric",BZ6,1)-30,1),70),1)),ISERROR(SEARCH(" roedor",BZ6,1)),ISERROR(SEARCH(" raton",BZ6,1)),ISERROR(SEARCH("plaga",BZ6,1)),ISERROR(SEARCH(" rata",BZ6,1)),ISERROR(SEARCH("hormigas",BZ6,1)),ISERROR(SEARCH("gotera",BZ6,1)),ISERROR(SEARCH("mucha tierra",BZ6,1)),ISERROR(SEARCH("conexiones invertidas",BZ6,1)),ISERROR(SEARCH("polaridad esta mal",BZ6,1)),ISERROR(SEARCH("se quemo un transformador",BZ6,1)),ISERROR(SEARCH("descargas electricas",BZ6,1)),ISERROR(SEARCH("varia",MID(BZ6,MAX(SEARCH("voltage",BZ6,1)-30,1),60),1)),ISERROR(SEARCH("VOLTAJES ELVADOS",BZ6,1)),ISERROR(SEARCH("VOLTAGES ELVADOS",BZ6,1)),ISERROR(SEARCH("capacitores inflados",BZ6,1)),ISERROR(SEARCH("exeso de polvo",BZ6,1)),ISERROR(SEARCH("inundo",BZ6,1)),ISERROR(SEARCH("inunda",BZ6,1)),ISERROR(SEARCH("polaridad invertida",BZ6,1)),ISERROR(SEARCH("falla",MID(BZ6,MAX(SEARCH("energia",BZ6,1)-20,1),50),1)),ISERROR(SEARCH("cort",MID(BZ6,MAX(SEARCH("energia",BZ6,1)-20,1),50),1))),IF(AND(ISERROR(SEARCH("Mala operac",BZ6,1)),ISERROR(SEARCH("Mal operac",BZ6,1)),NOT(AND(NOT(ISERROR(SEARCH("fuera",MID(BZ6,MAX(SEARCH("stacker",BZ6,1)-20,1),50),1))),NOT(ISERROR(SEARCH("posicion",MID(BZ6,MAX(SEARCH("stacker",BZ6,1)-30,1),60),1))))),ISERROR(SEARCH("mala calidad",MID(BZ6,MAX(SEARCH("billete",BZ6,1)-40,1),70),1)),ISERROR(SEARCH("arruga",MID(BZ6,MAX(SEARCH("billete",BZ6,1)-30,1),60),1)),ISERROR(SEARCH("mal estado",MID(BZ6,MAX(SEARCH("billete",BZ6,1)-30,1),60),1)),ISERROR(SEARCH("falla operativa",BZ6,1)),NOT(AND(NOT(ISERROR(SEARCH("tamaño",MID(BZ6,MAX(SEARCH("billete",BZ6,1)-30,1),50),1))),NOT(ISERROR(SEARCH("diferente",MID(BZ6,MAX(SEARCH("billete",BZ6,1)-30,1),50),1))))),NOT(AND(NOT(ISERROR(SEARCH("tamaño",MID(BZ6,MAX(SEARCH("billete",BZ6,1)-30,1),50),1))),NOT(ISERROR(SEARCH("distinto",MID(BZ6,MAX(SEARCH("billete",BZ6,1)-30,1),60),1))))),ISERROR(SEARCH("dotacion inadecuada",BZ6,1)),ISERROR(SEARCH("mala dotacion",BZ6,1)),ISERROR(SEARCH("no tiene efectivo",BZ6,1)),ISERROR(SEARCH("no tiene dinero",BZ6,1)),ISERROR(SEARCH("liga de fajilla atorada",BZ6,1)),ISERROR(SEARCH("liga",MID(BZ6,MAX(SEARCH("fajilla",BZ6,1)-30,1),50),1)),ISERROR(SEARCH("mal manipul",MID(BZ6,MAX(SEARCH("staker",BZ6,1)-40,1),70),1)),ISERROR(SEARCH("mal manipul",MID(BZ6,MAX(SEARCH("stacker",BZ6,1)-40,1),70),1)),ISERROR(SEARCH("stacker fuera de posicion",BZ6,1)),ISERROR(SEARCH("stacker fuera de pocicion",BZ6,1)),NOT(AND(NOT(ISERROR(SEARCH("mala",MID(BZ6,MAX(SEARCH("billete",BZ6,1)-20,1),50),1))),NOT(ISERROR(SEARCH("calidad",MID(BZ6,MAX(SEARCH("billete",BZ6,1)-30,1),60),1))))),NOT(AND(NOT(ISERROR(SEARCH("adecuado",MID(BZ6,MAX(SEARCH("billete",BZ6,1)-30,1),60),1))),NOT(ISERROR(SEARCH("acomodo",MID(BZ6,MAX(SEARCH("billete",BZ6,1)-30,1),60),1)))))),IF(AND(ISERROR(SEARCH("falta de regulador",BZ6,1)),ISERROR(SEARCH("falta de aire acondicionado",BZ6,1)),ISERROR(SEARCH("sin de aire acondicionado",BZ6,1)),ISERROR(SEARCH("sin regulador",BZ6,1)),NOT(AND(NOT(ISERROR(SEARCH("Condiciones",MID(BZ6,MAX(SEARCH("site",BZ6,1)-30,1),60),1))),NOT(ISERROR(SEARCH("inadecua",MID(BZ6,MAX(SEARCH("site",BZ6,1)-30,1),60),1))))),NOT(AND(NOT(ISERROR(SEARCH("necesita",MID(BZ6,MAX(SEARCH("site",BZ6,1)-30,1),60),1))),NOT(ISERROR(SEARCH("adecua",MID(BZ6,MAX(SEARCH("site",BZ6,1)-30,1),60),1)))))),IF(AND(ISERROR(SEARCH("problem",MID(BZ6,MAX(SEARCH("comunicacio",BZ6,1)-30,1),70),1)),NOT(AND(NOT(ISERROR(SEARCH("equipo",MID(BZ6,MAX(SEARCH("comunicac",BZ6,1)-30,1),80),1))),NOT(ISERROR(SEARCH("apagado",MID(BZ6,MAX(SEARCH("comunicac",BZ6,1)-30,1),80),1))))),ISERROR(SEARCH("rojo",MID(BZ6,MAX(SEARCH(" cisco",BZ6,1)-20,1),50),1)),ISERROR(SEARCH("apagado",MID(BZ6,MAX(SEARCH(" cisco",BZ6,1)-30,1),60),1)),ISERROR(SEARCH("apagado",MID(BZ6,MAX(SEARCH(" router",BZ6,1)-30,1),60),1)),NOT(AND(NOT(ISERROR(SEARCH("equipo",MID(BZ6,MAX(SEARCH("comunicac",BZ6,1)-20,1),70),1))),NOT(ISERROR(SEARCH("alarma",MID(BZ6,MAX(SEARCH("comunicac",BZ6,1)-30,1),80),1))))),ISERROR(SEARCH("reinicio",MID(BZ6,MAX(SEARCH("modem",BZ6,1)-30,1),60),1)),ISERROR(SEARCH("rojo",MID(BZ6,MAX(SEARCH("modem",BZ6,1)-20,1),50),1)),ISERROR(SEARCH("no responde",MID(BZ6,MAX(SEARCH(" ethernet",BZ6,1)-30,1),60),1)),ISERROR(SEARCH("fall",MID(BZ6,MAX(SEARCH(" ethernet",BZ6,1)-20,1),50),1)),ISERROR(SEARCH("enlace",MID(BZ6,MAX(SEARCH("satelital",BZ6,1)-30,1),70),1))),IF(IF(AND(NOT(AND(NOT(ISERROR(SEARCH("unicamente",MID(BZ6,MAX(SEARCH("atm en servicio",BZ6,1)-30,1),80),1))),NOT(ISERROR(SEARCH("consulta",MID(BZ6,MAX(SEARCH("atm en servicio",BZ6,1)-20,1),70),1))))),NOT(AND(NOT(ISERROR(SEARCH("solo",MID(BZ6,MAX(SEARCH("atm en servicio",BZ6,1)-20,1),70),1))),NOT(ISERROR(SEARCH("consulta",MID(BZ6,MAX(SEARCH("atm en servicio",BZ6,1)-30,1),80),1))))),ISERROR(SEARCH("sin dispensar",MID(BZ6,MAX(SEARCH("ATM en servicio",BZ6,1)-30,1),80),1))),AND(ISERROR(SEARCH("ATM sin falla",BZ6,1)),ISERROR(SEARCH("cajero sin falla",BZ6,1)),ISERROR(SEARCH("falla",MID(BZ6,MAX(SEARCH("sin encontr",BZ6,1)-20,1),60),1)),ISERROR(SEARCH("falla",MID(BZ6,MAX(SEARCH("No se detec",BZ6,1)-20,1),60),1)),ISERROR(SEARCH("no present",MID(BZ6,MAX(SEARCH("falla",BZ6,1)-30,1),60),1)),ISERROR(SEARCH("equipo no tiene falla",BZ6,1)),ISERROR(SEARCH("sin presentar falla",BZ6,1)),ISERROR(SEARCH("equipo sin falla",BZ6,1)),ISERROR(SEARCH("codigo 00",BZ6,1)),ISERROR(SEARCH("visita en falso",BZ6,1)),ISERROR(SEARCH("sin presentar error",BZ6,1)),ISERROR(SEARCH("no se detecto falla",BZ6,1)),ISERROR(SEARCH("se enc",MID(BZ6,MAX(SEARCH("ATM en servicio",BZ6,1)-30,1),80),1)),NOT(AND(NOT(ISERROR(SEARCH("ATM",MID(BZ6,MAX(SEARCH("se enc",BZ6,1)-20,1),60),1))),NOT(ISERROR(SEARCH("transac",MID(BZ6,MAX(SEARCH("se enc",BZ6,1)-30,1),70),1)))))),"VERDADERO"),"-","ATM sin falla"),"Falla en comunicaciones"),"Condiciones de site"),"Mala operación"),"Siniestro"),"Vandalismo"),"-"),"-")</f>
        <v>Mala operación</v>
      </c>
      <c r="CC6" s="3" t="str">
        <f>IF(AND(ISERROR(SEARCH("dial bloqueado",BZ6,1)),ISERROR(SEARCH("apertura",MID(BZ6,MAX(SEARCH("violencia",BZ6,1)-30,1),70),1))),IFERROR(VLOOKUP(BF6&amp;BH6,'-'!I:N,6,0),IFERROR(VLOOKUP(BD6,'-'!A:C,3,0),IFERROR(VLOOKUP(BH6,'-'!E:G,3,0),"-"))),"Seg. Fisica")</f>
        <v>-</v>
      </c>
      <c r="CD6" s="3" t="str">
        <f t="shared" ref="CD6:CD10" si="2">IF(CB6&lt;&gt;"-",CB6,IF(CC6&lt;&gt;"-",CC6,"-"))</f>
        <v>Mala operación</v>
      </c>
      <c r="CE6" s="3" t="s">
        <v>10</v>
      </c>
      <c r="CF6" s="3" t="s">
        <v>10</v>
      </c>
      <c r="CG6" s="3" t="s">
        <v>10</v>
      </c>
      <c r="CH6" s="3" t="s">
        <v>10</v>
      </c>
      <c r="CI6" s="3" t="s">
        <v>10</v>
      </c>
      <c r="CJ6" s="3" t="s">
        <v>10</v>
      </c>
      <c r="CK6" s="3" t="s">
        <v>10</v>
      </c>
      <c r="CL6" s="3" t="s">
        <v>10</v>
      </c>
      <c r="CM6" s="3" t="s">
        <v>10</v>
      </c>
      <c r="CN6" s="3" t="s">
        <v>10</v>
      </c>
      <c r="CO6" s="3" t="s">
        <v>10</v>
      </c>
      <c r="CP6" s="3" t="s">
        <v>10</v>
      </c>
      <c r="CQ6" s="3" t="str">
        <f>IF(CD6="-","-","[_ "&amp;BZ6&amp;" _]")</f>
        <v>[_ mala dotacion por parte del operador _]</v>
      </c>
      <c r="CR6" s="3" t="s">
        <v>10</v>
      </c>
      <c r="CS6" s="3" t="s">
        <v>10</v>
      </c>
      <c r="CT6" s="3" t="str">
        <f>CA6&amp;"-"&amp;INT(T6)</f>
        <v>--0</v>
      </c>
      <c r="CU6" s="3" t="str">
        <f>IF(ISERROR(MAX(AX6,AT6,AR6)*1),"-",CA6&amp;"-"&amp;INT(MAX(AX6,AT6,AR6)))</f>
        <v>--0</v>
      </c>
      <c r="CV6" s="3">
        <f t="shared" ref="CV6:CV10" si="3">A6</f>
        <v>0</v>
      </c>
    </row>
    <row r="7" spans="1:103" x14ac:dyDescent="0.35">
      <c r="CA7" s="2" t="str">
        <f>IFERROR(MID(F7,IFERROR(SEARCH("i1",F7),IFERROR(SEARCH("i2",F7),IFERROR(SEARCH("i3",F7), IFERROR(SEARCH("i4",F7),IFERROR(SEARCH("i5",F7),IFERROR(SEARCH("i6",F7),IFERROR(SEARCH("i7",F7),IFERROR(SEARCH("i8",F7), IFERROR(SEARCH("i9",F7),IFERROR(SEARCH("D1",F7),IFERROR(SEARCH("D2",F7),IFERROR(SEARCH("D3",F7), IFERROR(SEARCH("D4",F7),IFERROR(SEARCH("D5",F7),IFERROR(SEARCH("D6",F7),IFERROR(SEARCH("D7",F7),IFERROR(SEARCH("D8",F7), IFERROR(SEARCH("D9",F7), IFERROR(SEARCH("D0",F7), IFERROR(SEARCH("I0",F7),"-")))))))))))))))))))),6),IFERROR(MID(K7,IFERROR(SEARCH("i1",K7),IFERROR(SEARCH("i2",K7),IFERROR(SEARCH("i3",K7),IFERROR(SEARCH("i4",K7),IFERROR(SEARCH("i5",K7),IFERROR(SEARCH("i6",K7),IFERROR(SEARCH("i7",K7),IFERROR(SEARCH("i8",K7),IFERROR(SEARCH("i9",K7),IFERROR(SEARCH("D1",K7),IFERROR(SEARCH("D2",K7),IFERROR(SEARCH("D3",K7),IFERROR(SEARCH("D4",K7),IFERROR(SEARCH("D5",K7),IFERROR(SEARCH("D6",K7),IFERROR(SEARCH("D7",K7),IFERROR(SEARCH("D8",K7),IFERROR(SEARCH("D9",K7),IFERROR(SEARCH("D0",K7),IFERROR(SEARCH("I0",K7),"-")))))))))))))))))))),6),IFERROR(MID(BZ7,IFERROR(SEARCH("i1",BZ7),IFERROR(SEARCH("i2",BZ7),IFERROR(SEARCH("i3",BZ7), IFERROR(SEARCH("i4",BZ7),IFERROR(SEARCH("i5",BZ7),IFERROR(SEARCH("i6",BZ7),IFERROR(SEARCH("i7",BZ7),IFERROR(SEARCH("i8",BZ7), IFERROR(SEARCH("i9",BZ7),IFERROR(SEARCH("D1",BZ7),IFERROR(SEARCH("D2",BZ7),IFERROR(SEARCH("D3",BZ7), IFERROR(SEARCH("D4",BZ7),IFERROR(SEARCH("D5",BZ7),IFERROR(SEARCH("D6",BZ7),IFERROR(SEARCH("D7",BZ7),IFERROR(SEARCH("D8",BZ7), IFERROR(SEARCH("D9",BZ7), IFERROR(SEARCH("D0",BZ7), IFERROR(SEARCH("I0",BZ7),"-")))))))))))))))))))),6),"-")))</f>
        <v>-</v>
      </c>
      <c r="CB7" s="3" t="str">
        <f>IFERROR(IF(AND(ISERROR(SEARCH("Uso normal",BZ7,1)),ISERROR(SEARCH("uso norml",BZ7,1))),IF(IF(ISERROR(SEARCH("kit antivandal",BZ7,1)),AND(ISERROR(SEARCH("vandal",BZ7,1)),ISERROR(SEARCH("bandal",BZ7,1)),ISERROR(SEARCH("golpeado",BZ7,1)),ISERROR(SEARCH("introdujo objeto",BZ7,1)),ISERROR(SEARCH("con golpe",BZ7,1))),"VERDADERO"),IF(AND(ISERROR(SEARCH("apagon",BZ7,1)),ISERROR(SEARCH("apagón",BZ7,1)),ISERROR(SEARCH("varia",MID(BZ7,MAX(SEARCH("energia",BZ7,1)-20,1),50),1)),ISERROR(SEARCH("varia",MID(BZ7,MAX(SEARCH("voltaje",BZ7,1)-20,1),50),1)),ISERROR(SEARCH("problema",MID(BZ7,MAX(SEARCH(" electric",BZ7,1)-30,1),70),1)),ISERROR(SEARCH(" roedor",BZ7,1)),ISERROR(SEARCH(" raton",BZ7,1)),ISERROR(SEARCH("plaga",BZ7,1)),ISERROR(SEARCH(" rata",BZ7,1)),ISERROR(SEARCH("hormigas",BZ7,1)),ISERROR(SEARCH("gotera",BZ7,1)),ISERROR(SEARCH("mucha tierra",BZ7,1)),ISERROR(SEARCH("conexiones invertidas",BZ7,1)),ISERROR(SEARCH("polaridad esta mal",BZ7,1)),ISERROR(SEARCH("se quemo un transformador",BZ7,1)),ISERROR(SEARCH("descargas electricas",BZ7,1)),ISERROR(SEARCH("varia",MID(BZ7,MAX(SEARCH("voltage",BZ7,1)-30,1),60),1)),ISERROR(SEARCH("VOLTAJES ELVADOS",BZ7,1)),ISERROR(SEARCH("VOLTAGES ELVADOS",BZ7,1)),ISERROR(SEARCH("capacitores inflados",BZ7,1)),ISERROR(SEARCH("exeso de polvo",BZ7,1)),ISERROR(SEARCH("inundo",BZ7,1)),ISERROR(SEARCH("inunda",BZ7,1)),ISERROR(SEARCH("polaridad invertida",BZ7,1)),ISERROR(SEARCH("falla",MID(BZ7,MAX(SEARCH("energia",BZ7,1)-20,1),50),1)),ISERROR(SEARCH("cort",MID(BZ7,MAX(SEARCH("energia",BZ7,1)-20,1),50),1))),IF(AND(ISERROR(SEARCH("Mala operac",BZ7,1)),ISERROR(SEARCH("Mal operac",BZ7,1)),NOT(AND(NOT(ISERROR(SEARCH("fuera",MID(BZ7,MAX(SEARCH("stacker",BZ7,1)-20,1),50),1))),NOT(ISERROR(SEARCH("posicion",MID(BZ7,MAX(SEARCH("stacker",BZ7,1)-30,1),60),1))))),ISERROR(SEARCH("mala calidad",MID(BZ7,MAX(SEARCH("billete",BZ7,1)-40,1),70),1)),ISERROR(SEARCH("arruga",MID(BZ7,MAX(SEARCH("billete",BZ7,1)-30,1),60),1)),ISERROR(SEARCH("mal estado",MID(BZ7,MAX(SEARCH("billete",BZ7,1)-30,1),60),1)),ISERROR(SEARCH("falla operativa",BZ7,1)),NOT(AND(NOT(ISERROR(SEARCH("tamaño",MID(BZ7,MAX(SEARCH("billete",BZ7,1)-30,1),50),1))),NOT(ISERROR(SEARCH("diferente",MID(BZ7,MAX(SEARCH("billete",BZ7,1)-30,1),50),1))))),NOT(AND(NOT(ISERROR(SEARCH("tamaño",MID(BZ7,MAX(SEARCH("billete",BZ7,1)-30,1),50),1))),NOT(ISERROR(SEARCH("distinto",MID(BZ7,MAX(SEARCH("billete",BZ7,1)-30,1),60),1))))),ISERROR(SEARCH("dotacion inadecuada",BZ7,1)),ISERROR(SEARCH("mala dotacion",BZ7,1)),ISERROR(SEARCH("no tiene efectivo",BZ7,1)),ISERROR(SEARCH("no tiene dinero",BZ7,1)),ISERROR(SEARCH("liga de fajilla atorada",BZ7,1)),ISERROR(SEARCH("liga",MID(BZ7,MAX(SEARCH("fajilla",BZ7,1)-30,1),50),1)),ISERROR(SEARCH("mal manipul",MID(BZ7,MAX(SEARCH("staker",BZ7,1)-40,1),70),1)),ISERROR(SEARCH("mal manipul",MID(BZ7,MAX(SEARCH("stacker",BZ7,1)-40,1),70),1)),ISERROR(SEARCH("stacker fuera de posicion",BZ7,1)),ISERROR(SEARCH("stacker fuera de pocicion",BZ7,1)),NOT(AND(NOT(ISERROR(SEARCH("mala",MID(BZ7,MAX(SEARCH("billete",BZ7,1)-20,1),50),1))),NOT(ISERROR(SEARCH("calidad",MID(BZ7,MAX(SEARCH("billete",BZ7,1)-30,1),60),1))))),NOT(AND(NOT(ISERROR(SEARCH("adecuado",MID(BZ7,MAX(SEARCH("billete",BZ7,1)-30,1),60),1))),NOT(ISERROR(SEARCH("acomodo",MID(BZ7,MAX(SEARCH("billete",BZ7,1)-30,1),60),1)))))),IF(AND(ISERROR(SEARCH("falta de regulador",BZ7,1)),ISERROR(SEARCH("falta de aire acondicionado",BZ7,1)),ISERROR(SEARCH("sin de aire acondicionado",BZ7,1)),ISERROR(SEARCH("sin regulador",BZ7,1)),NOT(AND(NOT(ISERROR(SEARCH("Condiciones",MID(BZ7,MAX(SEARCH("site",BZ7,1)-30,1),60),1))),NOT(ISERROR(SEARCH("inadecua",MID(BZ7,MAX(SEARCH("site",BZ7,1)-30,1),60),1))))),NOT(AND(NOT(ISERROR(SEARCH("necesita",MID(BZ7,MAX(SEARCH("site",BZ7,1)-30,1),60),1))),NOT(ISERROR(SEARCH("adecua",MID(BZ7,MAX(SEARCH("site",BZ7,1)-30,1),60),1)))))),IF(AND(ISERROR(SEARCH("problem",MID(BZ7,MAX(SEARCH("comunicacio",BZ7,1)-30,1),70),1)),NOT(AND(NOT(ISERROR(SEARCH("equipo",MID(BZ7,MAX(SEARCH("comunicac",BZ7,1)-30,1),80),1))),NOT(ISERROR(SEARCH("apagado",MID(BZ7,MAX(SEARCH("comunicac",BZ7,1)-30,1),80),1))))),ISERROR(SEARCH("rojo",MID(BZ7,MAX(SEARCH(" cisco",BZ7,1)-20,1),50),1)),ISERROR(SEARCH("apagado",MID(BZ7,MAX(SEARCH(" cisco",BZ7,1)-30,1),60),1)),ISERROR(SEARCH("apagado",MID(BZ7,MAX(SEARCH(" router",BZ7,1)-30,1),60),1)),NOT(AND(NOT(ISERROR(SEARCH("equipo",MID(BZ7,MAX(SEARCH("comunicac",BZ7,1)-20,1),70),1))),NOT(ISERROR(SEARCH("alarma",MID(BZ7,MAX(SEARCH("comunicac",BZ7,1)-30,1),80),1))))),ISERROR(SEARCH("reinicio",MID(BZ7,MAX(SEARCH("modem",BZ7,1)-30,1),60),1)),ISERROR(SEARCH("rojo",MID(BZ7,MAX(SEARCH("modem",BZ7,1)-20,1),50),1)),ISERROR(SEARCH("no responde",MID(BZ7,MAX(SEARCH(" ethernet",BZ7,1)-30,1),60),1)),ISERROR(SEARCH("fall",MID(BZ7,MAX(SEARCH(" ethernet",BZ7,1)-20,1),50),1)),ISERROR(SEARCH("enlace",MID(BZ7,MAX(SEARCH("satelital",BZ7,1)-30,1),70),1))),IF(IF(AND(NOT(AND(NOT(ISERROR(SEARCH("unicamente",MID(BZ7,MAX(SEARCH("atm en servicio",BZ7,1)-30,1),80),1))),NOT(ISERROR(SEARCH("consulta",MID(BZ7,MAX(SEARCH("atm en servicio",BZ7,1)-20,1),70),1))))),NOT(AND(NOT(ISERROR(SEARCH("solo",MID(BZ7,MAX(SEARCH("atm en servicio",BZ7,1)-20,1),70),1))),NOT(ISERROR(SEARCH("consulta",MID(BZ7,MAX(SEARCH("atm en servicio",BZ7,1)-30,1),80),1))))),ISERROR(SEARCH("sin dispensar",MID(BZ7,MAX(SEARCH("ATM en servicio",BZ7,1)-30,1),80),1))),AND(ISERROR(SEARCH("ATM sin falla",BZ7,1)),ISERROR(SEARCH("cajero sin falla",BZ7,1)),ISERROR(SEARCH("falla",MID(BZ7,MAX(SEARCH("sin encontr",BZ7,1)-20,1),60),1)),ISERROR(SEARCH("falla",MID(BZ7,MAX(SEARCH("No se detec",BZ7,1)-20,1),60),1)),ISERROR(SEARCH("no present",MID(BZ7,MAX(SEARCH("falla",BZ7,1)-30,1),60),1)),ISERROR(SEARCH("equipo no tiene falla",BZ7,1)),ISERROR(SEARCH("sin presentar falla",BZ7,1)),ISERROR(SEARCH("equipo sin falla",BZ7,1)),ISERROR(SEARCH("codigo 00",BZ7,1)),ISERROR(SEARCH("visita en falso",BZ7,1)),ISERROR(SEARCH("sin presentar error",BZ7,1)),ISERROR(SEARCH("no se detecto falla",BZ7,1)),ISERROR(SEARCH("se enc",MID(BZ7,MAX(SEARCH("ATM en servicio",BZ7,1)-30,1),80),1)),NOT(AND(NOT(ISERROR(SEARCH("ATM",MID(BZ7,MAX(SEARCH("se enc",BZ7,1)-20,1),60),1))),NOT(ISERROR(SEARCH("transac",MID(BZ7,MAX(SEARCH("se enc",BZ7,1)-30,1),70),1)))))),"VERDADERO"),"-","ATM sin falla"),"Falla en comunicaciones"),"Condiciones de site"),"Mala operación"),"Siniestro"),"Vandalismo"),"-"),"-")</f>
        <v>-</v>
      </c>
      <c r="CC7" s="3" t="str">
        <f>IF(AND(ISERROR(SEARCH("dial bloqueado",BZ7,1)),ISERROR(SEARCH("apertura",MID(BZ7,MAX(SEARCH("violencia",BZ7,1)-30,1),70),1))),IFERROR(VLOOKUP(BF7&amp;BH7,'-'!I:N,6,0),IFERROR(VLOOKUP(BD7,'-'!A:C,3,0),IFERROR(VLOOKUP(BH7,'-'!E:G,3,0),"-"))),"Seg. Fisica")</f>
        <v>-</v>
      </c>
      <c r="CD7" s="3" t="str">
        <f t="shared" si="2"/>
        <v>-</v>
      </c>
      <c r="CE7" s="3" t="s">
        <v>10</v>
      </c>
      <c r="CF7" s="3" t="s">
        <v>10</v>
      </c>
      <c r="CG7" s="3" t="s">
        <v>10</v>
      </c>
      <c r="CH7" s="3" t="s">
        <v>10</v>
      </c>
      <c r="CI7" s="3" t="s">
        <v>10</v>
      </c>
      <c r="CJ7" s="3" t="s">
        <v>10</v>
      </c>
      <c r="CK7" s="3" t="s">
        <v>10</v>
      </c>
      <c r="CL7" s="3" t="s">
        <v>10</v>
      </c>
      <c r="CM7" s="3" t="s">
        <v>10</v>
      </c>
      <c r="CN7" s="3" t="s">
        <v>10</v>
      </c>
      <c r="CO7" s="3" t="s">
        <v>10</v>
      </c>
      <c r="CP7" s="3" t="s">
        <v>10</v>
      </c>
      <c r="CQ7" s="3" t="str">
        <f>IF(CD7="-","-","[_ "&amp;BZ7&amp;" _]")</f>
        <v>-</v>
      </c>
      <c r="CR7" s="3" t="s">
        <v>10</v>
      </c>
      <c r="CS7" s="3" t="s">
        <v>10</v>
      </c>
      <c r="CT7" s="3" t="str">
        <f>CA7&amp;"-"&amp;INT(T7)</f>
        <v>--0</v>
      </c>
      <c r="CU7" s="3" t="str">
        <f>IF(ISERROR(MAX(AX7,AT7,AR7)*1),"-",CA7&amp;"-"&amp;INT(MAX(AX7,AT7,AR7)))</f>
        <v>--0</v>
      </c>
      <c r="CV7" s="3">
        <f t="shared" si="3"/>
        <v>0</v>
      </c>
    </row>
    <row r="8" spans="1:103" x14ac:dyDescent="0.35">
      <c r="CA8" s="2" t="str">
        <f>IFERROR(MID(F8,IFERROR(SEARCH("i1",F8),IFERROR(SEARCH("i2",F8),IFERROR(SEARCH("i3",F8), IFERROR(SEARCH("i4",F8),IFERROR(SEARCH("i5",F8),IFERROR(SEARCH("i6",F8),IFERROR(SEARCH("i7",F8),IFERROR(SEARCH("i8",F8), IFERROR(SEARCH("i9",F8),IFERROR(SEARCH("D1",F8),IFERROR(SEARCH("D2",F8),IFERROR(SEARCH("D3",F8), IFERROR(SEARCH("D4",F8),IFERROR(SEARCH("D5",F8),IFERROR(SEARCH("D6",F8),IFERROR(SEARCH("D7",F8),IFERROR(SEARCH("D8",F8), IFERROR(SEARCH("D9",F8), IFERROR(SEARCH("D0",F8), IFERROR(SEARCH("I0",F8),"-")))))))))))))))))))),6),IFERROR(MID(K8,IFERROR(SEARCH("i1",K8),IFERROR(SEARCH("i2",K8),IFERROR(SEARCH("i3",K8),IFERROR(SEARCH("i4",K8),IFERROR(SEARCH("i5",K8),IFERROR(SEARCH("i6",K8),IFERROR(SEARCH("i7",K8),IFERROR(SEARCH("i8",K8),IFERROR(SEARCH("i9",K8),IFERROR(SEARCH("D1",K8),IFERROR(SEARCH("D2",K8),IFERROR(SEARCH("D3",K8),IFERROR(SEARCH("D4",K8),IFERROR(SEARCH("D5",K8),IFERROR(SEARCH("D6",K8),IFERROR(SEARCH("D7",K8),IFERROR(SEARCH("D8",K8),IFERROR(SEARCH("D9",K8),IFERROR(SEARCH("D0",K8),IFERROR(SEARCH("I0",K8),"-")))))))))))))))))))),6),IFERROR(MID(BZ8,IFERROR(SEARCH("i1",BZ8),IFERROR(SEARCH("i2",BZ8),IFERROR(SEARCH("i3",BZ8), IFERROR(SEARCH("i4",BZ8),IFERROR(SEARCH("i5",BZ8),IFERROR(SEARCH("i6",BZ8),IFERROR(SEARCH("i7",BZ8),IFERROR(SEARCH("i8",BZ8), IFERROR(SEARCH("i9",BZ8),IFERROR(SEARCH("D1",BZ8),IFERROR(SEARCH("D2",BZ8),IFERROR(SEARCH("D3",BZ8), IFERROR(SEARCH("D4",BZ8),IFERROR(SEARCH("D5",BZ8),IFERROR(SEARCH("D6",BZ8),IFERROR(SEARCH("D7",BZ8),IFERROR(SEARCH("D8",BZ8), IFERROR(SEARCH("D9",BZ8), IFERROR(SEARCH("D0",BZ8), IFERROR(SEARCH("I0",BZ8),"-")))))))))))))))))))),6),"-")))</f>
        <v>-</v>
      </c>
      <c r="CB8" s="3" t="str">
        <f>IFERROR(IF(AND(ISERROR(SEARCH("Uso normal",BZ8,1)),ISERROR(SEARCH("uso norml",BZ8,1))),IF(IF(ISERROR(SEARCH("kit antivandal",BZ8,1)),AND(ISERROR(SEARCH("vandal",BZ8,1)),ISERROR(SEARCH("bandal",BZ8,1)),ISERROR(SEARCH("golpeado",BZ8,1)),ISERROR(SEARCH("introdujo objeto",BZ8,1)),ISERROR(SEARCH("con golpe",BZ8,1))),"VERDADERO"),IF(AND(ISERROR(SEARCH("apagon",BZ8,1)),ISERROR(SEARCH("apagón",BZ8,1)),ISERROR(SEARCH("varia",MID(BZ8,MAX(SEARCH("energia",BZ8,1)-20,1),50),1)),ISERROR(SEARCH("varia",MID(BZ8,MAX(SEARCH("voltaje",BZ8,1)-20,1),50),1)),ISERROR(SEARCH("problema",MID(BZ8,MAX(SEARCH(" electric",BZ8,1)-30,1),70),1)),ISERROR(SEARCH(" roedor",BZ8,1)),ISERROR(SEARCH(" raton",BZ8,1)),ISERROR(SEARCH("plaga",BZ8,1)),ISERROR(SEARCH(" rata",BZ8,1)),ISERROR(SEARCH("hormigas",BZ8,1)),ISERROR(SEARCH("gotera",BZ8,1)),ISERROR(SEARCH("mucha tierra",BZ8,1)),ISERROR(SEARCH("conexiones invertidas",BZ8,1)),ISERROR(SEARCH("polaridad esta mal",BZ8,1)),ISERROR(SEARCH("se quemo un transformador",BZ8,1)),ISERROR(SEARCH("descargas electricas",BZ8,1)),ISERROR(SEARCH("varia",MID(BZ8,MAX(SEARCH("voltage",BZ8,1)-30,1),60),1)),ISERROR(SEARCH("VOLTAJES ELVADOS",BZ8,1)),ISERROR(SEARCH("VOLTAGES ELVADOS",BZ8,1)),ISERROR(SEARCH("capacitores inflados",BZ8,1)),ISERROR(SEARCH("exeso de polvo",BZ8,1)),ISERROR(SEARCH("inundo",BZ8,1)),ISERROR(SEARCH("inunda",BZ8,1)),ISERROR(SEARCH("polaridad invertida",BZ8,1)),ISERROR(SEARCH("falla",MID(BZ8,MAX(SEARCH("energia",BZ8,1)-20,1),50),1)),ISERROR(SEARCH("cort",MID(BZ8,MAX(SEARCH("energia",BZ8,1)-20,1),50),1))),IF(AND(ISERROR(SEARCH("Mala operac",BZ8,1)),ISERROR(SEARCH("Mal operac",BZ8,1)),NOT(AND(NOT(ISERROR(SEARCH("fuera",MID(BZ8,MAX(SEARCH("stacker",BZ8,1)-20,1),50),1))),NOT(ISERROR(SEARCH("posicion",MID(BZ8,MAX(SEARCH("stacker",BZ8,1)-30,1),60),1))))),ISERROR(SEARCH("mala calidad",MID(BZ8,MAX(SEARCH("billete",BZ8,1)-40,1),70),1)),ISERROR(SEARCH("arruga",MID(BZ8,MAX(SEARCH("billete",BZ8,1)-30,1),60),1)),ISERROR(SEARCH("mal estado",MID(BZ8,MAX(SEARCH("billete",BZ8,1)-30,1),60),1)),ISERROR(SEARCH("falla operativa",BZ8,1)),NOT(AND(NOT(ISERROR(SEARCH("tamaño",MID(BZ8,MAX(SEARCH("billete",BZ8,1)-30,1),50),1))),NOT(ISERROR(SEARCH("diferente",MID(BZ8,MAX(SEARCH("billete",BZ8,1)-30,1),50),1))))),NOT(AND(NOT(ISERROR(SEARCH("tamaño",MID(BZ8,MAX(SEARCH("billete",BZ8,1)-30,1),50),1))),NOT(ISERROR(SEARCH("distinto",MID(BZ8,MAX(SEARCH("billete",BZ8,1)-30,1),60),1))))),ISERROR(SEARCH("dotacion inadecuada",BZ8,1)),ISERROR(SEARCH("mala dotacion",BZ8,1)),ISERROR(SEARCH("no tiene efectivo",BZ8,1)),ISERROR(SEARCH("no tiene dinero",BZ8,1)),ISERROR(SEARCH("liga de fajilla atorada",BZ8,1)),ISERROR(SEARCH("liga",MID(BZ8,MAX(SEARCH("fajilla",BZ8,1)-30,1),50),1)),ISERROR(SEARCH("mal manipul",MID(BZ8,MAX(SEARCH("staker",BZ8,1)-40,1),70),1)),ISERROR(SEARCH("mal manipul",MID(BZ8,MAX(SEARCH("stacker",BZ8,1)-40,1),70),1)),ISERROR(SEARCH("stacker fuera de posicion",BZ8,1)),ISERROR(SEARCH("stacker fuera de pocicion",BZ8,1)),NOT(AND(NOT(ISERROR(SEARCH("mala",MID(BZ8,MAX(SEARCH("billete",BZ8,1)-20,1),50),1))),NOT(ISERROR(SEARCH("calidad",MID(BZ8,MAX(SEARCH("billete",BZ8,1)-30,1),60),1))))),NOT(AND(NOT(ISERROR(SEARCH("adecuado",MID(BZ8,MAX(SEARCH("billete",BZ8,1)-30,1),60),1))),NOT(ISERROR(SEARCH("acomodo",MID(BZ8,MAX(SEARCH("billete",BZ8,1)-30,1),60),1)))))),IF(AND(ISERROR(SEARCH("falta de regulador",BZ8,1)),ISERROR(SEARCH("falta de aire acondicionado",BZ8,1)),ISERROR(SEARCH("sin de aire acondicionado",BZ8,1)),ISERROR(SEARCH("sin regulador",BZ8,1)),NOT(AND(NOT(ISERROR(SEARCH("Condiciones",MID(BZ8,MAX(SEARCH("site",BZ8,1)-30,1),60),1))),NOT(ISERROR(SEARCH("inadecua",MID(BZ8,MAX(SEARCH("site",BZ8,1)-30,1),60),1))))),NOT(AND(NOT(ISERROR(SEARCH("necesita",MID(BZ8,MAX(SEARCH("site",BZ8,1)-30,1),60),1))),NOT(ISERROR(SEARCH("adecua",MID(BZ8,MAX(SEARCH("site",BZ8,1)-30,1),60),1)))))),IF(AND(ISERROR(SEARCH("problem",MID(BZ8,MAX(SEARCH("comunicacio",BZ8,1)-30,1),70),1)),NOT(AND(NOT(ISERROR(SEARCH("equipo",MID(BZ8,MAX(SEARCH("comunicac",BZ8,1)-30,1),80),1))),NOT(ISERROR(SEARCH("apagado",MID(BZ8,MAX(SEARCH("comunicac",BZ8,1)-30,1),80),1))))),ISERROR(SEARCH("rojo",MID(BZ8,MAX(SEARCH(" cisco",BZ8,1)-20,1),50),1)),ISERROR(SEARCH("apagado",MID(BZ8,MAX(SEARCH(" cisco",BZ8,1)-30,1),60),1)),ISERROR(SEARCH("apagado",MID(BZ8,MAX(SEARCH(" router",BZ8,1)-30,1),60),1)),NOT(AND(NOT(ISERROR(SEARCH("equipo",MID(BZ8,MAX(SEARCH("comunicac",BZ8,1)-20,1),70),1))),NOT(ISERROR(SEARCH("alarma",MID(BZ8,MAX(SEARCH("comunicac",BZ8,1)-30,1),80),1))))),ISERROR(SEARCH("reinicio",MID(BZ8,MAX(SEARCH("modem",BZ8,1)-30,1),60),1)),ISERROR(SEARCH("rojo",MID(BZ8,MAX(SEARCH("modem",BZ8,1)-20,1),50),1)),ISERROR(SEARCH("no responde",MID(BZ8,MAX(SEARCH(" ethernet",BZ8,1)-30,1),60),1)),ISERROR(SEARCH("fall",MID(BZ8,MAX(SEARCH(" ethernet",BZ8,1)-20,1),50),1)),ISERROR(SEARCH("enlace",MID(BZ8,MAX(SEARCH("satelital",BZ8,1)-30,1),70),1))),IF(IF(AND(NOT(AND(NOT(ISERROR(SEARCH("unicamente",MID(BZ8,MAX(SEARCH("atm en servicio",BZ8,1)-30,1),80),1))),NOT(ISERROR(SEARCH("consulta",MID(BZ8,MAX(SEARCH("atm en servicio",BZ8,1)-20,1),70),1))))),NOT(AND(NOT(ISERROR(SEARCH("solo",MID(BZ8,MAX(SEARCH("atm en servicio",BZ8,1)-20,1),70),1))),NOT(ISERROR(SEARCH("consulta",MID(BZ8,MAX(SEARCH("atm en servicio",BZ8,1)-30,1),80),1))))),ISERROR(SEARCH("sin dispensar",MID(BZ8,MAX(SEARCH("ATM en servicio",BZ8,1)-30,1),80),1))),AND(ISERROR(SEARCH("ATM sin falla",BZ8,1)),ISERROR(SEARCH("cajero sin falla",BZ8,1)),ISERROR(SEARCH("falla",MID(BZ8,MAX(SEARCH("sin encontr",BZ8,1)-20,1),60),1)),ISERROR(SEARCH("falla",MID(BZ8,MAX(SEARCH("No se detec",BZ8,1)-20,1),60),1)),ISERROR(SEARCH("no present",MID(BZ8,MAX(SEARCH("falla",BZ8,1)-30,1),60),1)),ISERROR(SEARCH("equipo no tiene falla",BZ8,1)),ISERROR(SEARCH("sin presentar falla",BZ8,1)),ISERROR(SEARCH("equipo sin falla",BZ8,1)),ISERROR(SEARCH("codigo 00",BZ8,1)),ISERROR(SEARCH("visita en falso",BZ8,1)),ISERROR(SEARCH("sin presentar error",BZ8,1)),ISERROR(SEARCH("no se detecto falla",BZ8,1)),ISERROR(SEARCH("se enc",MID(BZ8,MAX(SEARCH("ATM en servicio",BZ8,1)-30,1),80),1)),NOT(AND(NOT(ISERROR(SEARCH("ATM",MID(BZ8,MAX(SEARCH("se enc",BZ8,1)-20,1),60),1))),NOT(ISERROR(SEARCH("transac",MID(BZ8,MAX(SEARCH("se enc",BZ8,1)-30,1),70),1)))))),"VERDADERO"),"-","ATM sin falla"),"Falla en comunicaciones"),"Condiciones de site"),"Mala operación"),"Siniestro"),"Vandalismo"),"-"),"-")</f>
        <v>-</v>
      </c>
      <c r="CC8" s="3" t="str">
        <f>IF(AND(ISERROR(SEARCH("dial bloqueado",BZ8,1)),ISERROR(SEARCH("apertura",MID(BZ8,MAX(SEARCH("violencia",BZ8,1)-30,1),70),1))),IFERROR(VLOOKUP(BF8&amp;BH8,'-'!I:N,6,0),IFERROR(VLOOKUP(BD8,'-'!A:C,3,0),IFERROR(VLOOKUP(BH8,'-'!E:G,3,0),"-"))),"Seg. Fisica")</f>
        <v>-</v>
      </c>
      <c r="CD8" s="3" t="str">
        <f t="shared" si="2"/>
        <v>-</v>
      </c>
      <c r="CE8" s="3" t="s">
        <v>10</v>
      </c>
      <c r="CF8" s="3" t="s">
        <v>10</v>
      </c>
      <c r="CG8" s="3" t="s">
        <v>10</v>
      </c>
      <c r="CH8" s="3" t="s">
        <v>10</v>
      </c>
      <c r="CI8" s="3" t="s">
        <v>10</v>
      </c>
      <c r="CJ8" s="3" t="s">
        <v>10</v>
      </c>
      <c r="CK8" s="3" t="s">
        <v>10</v>
      </c>
      <c r="CL8" s="3" t="s">
        <v>10</v>
      </c>
      <c r="CM8" s="3" t="s">
        <v>10</v>
      </c>
      <c r="CN8" s="3" t="s">
        <v>10</v>
      </c>
      <c r="CO8" s="3" t="s">
        <v>10</v>
      </c>
      <c r="CP8" s="3" t="s">
        <v>10</v>
      </c>
      <c r="CQ8" s="3" t="str">
        <f>IF(CD8="-","-","[_ "&amp;BZ8&amp;" _]")</f>
        <v>-</v>
      </c>
      <c r="CR8" s="3" t="s">
        <v>10</v>
      </c>
      <c r="CS8" s="3" t="s">
        <v>10</v>
      </c>
      <c r="CT8" s="3" t="str">
        <f>CA8&amp;"-"&amp;INT(T8)</f>
        <v>--0</v>
      </c>
      <c r="CU8" s="3" t="str">
        <f>IF(ISERROR(MAX(AX8,AT8,AR8)*1),"-",CA8&amp;"-"&amp;INT(MAX(AX8,AT8,AR8)))</f>
        <v>--0</v>
      </c>
      <c r="CV8" s="3">
        <f t="shared" si="3"/>
        <v>0</v>
      </c>
    </row>
    <row r="9" spans="1:103" x14ac:dyDescent="0.35">
      <c r="CA9" s="2" t="str">
        <f>IFERROR(MID(F9,IFERROR(SEARCH("i1",F9),IFERROR(SEARCH("i2",F9),IFERROR(SEARCH("i3",F9), IFERROR(SEARCH("i4",F9),IFERROR(SEARCH("i5",F9),IFERROR(SEARCH("i6",F9),IFERROR(SEARCH("i7",F9),IFERROR(SEARCH("i8",F9), IFERROR(SEARCH("i9",F9),IFERROR(SEARCH("D1",F9),IFERROR(SEARCH("D2",F9),IFERROR(SEARCH("D3",F9), IFERROR(SEARCH("D4",F9),IFERROR(SEARCH("D5",F9),IFERROR(SEARCH("D6",F9),IFERROR(SEARCH("D7",F9),IFERROR(SEARCH("D8",F9), IFERROR(SEARCH("D9",F9), IFERROR(SEARCH("D0",F9), IFERROR(SEARCH("I0",F9),"-")))))))))))))))))))),6),IFERROR(MID(K9,IFERROR(SEARCH("i1",K9),IFERROR(SEARCH("i2",K9),IFERROR(SEARCH("i3",K9),IFERROR(SEARCH("i4",K9),IFERROR(SEARCH("i5",K9),IFERROR(SEARCH("i6",K9),IFERROR(SEARCH("i7",K9),IFERROR(SEARCH("i8",K9),IFERROR(SEARCH("i9",K9),IFERROR(SEARCH("D1",K9),IFERROR(SEARCH("D2",K9),IFERROR(SEARCH("D3",K9),IFERROR(SEARCH("D4",K9),IFERROR(SEARCH("D5",K9),IFERROR(SEARCH("D6",K9),IFERROR(SEARCH("D7",K9),IFERROR(SEARCH("D8",K9),IFERROR(SEARCH("D9",K9),IFERROR(SEARCH("D0",K9),IFERROR(SEARCH("I0",K9),"-")))))))))))))))))))),6),IFERROR(MID(BZ9,IFERROR(SEARCH("i1",BZ9),IFERROR(SEARCH("i2",BZ9),IFERROR(SEARCH("i3",BZ9), IFERROR(SEARCH("i4",BZ9),IFERROR(SEARCH("i5",BZ9),IFERROR(SEARCH("i6",BZ9),IFERROR(SEARCH("i7",BZ9),IFERROR(SEARCH("i8",BZ9), IFERROR(SEARCH("i9",BZ9),IFERROR(SEARCH("D1",BZ9),IFERROR(SEARCH("D2",BZ9),IFERROR(SEARCH("D3",BZ9), IFERROR(SEARCH("D4",BZ9),IFERROR(SEARCH("D5",BZ9),IFERROR(SEARCH("D6",BZ9),IFERROR(SEARCH("D7",BZ9),IFERROR(SEARCH("D8",BZ9), IFERROR(SEARCH("D9",BZ9), IFERROR(SEARCH("D0",BZ9), IFERROR(SEARCH("I0",BZ9),"-")))))))))))))))))))),6),"-")))</f>
        <v>-</v>
      </c>
      <c r="CB9" s="3" t="str">
        <f>IFERROR(IF(AND(ISERROR(SEARCH("Uso normal",BZ9,1)),ISERROR(SEARCH("uso norml",BZ9,1))),IF(IF(ISERROR(SEARCH("kit antivandal",BZ9,1)),AND(ISERROR(SEARCH("vandal",BZ9,1)),ISERROR(SEARCH("bandal",BZ9,1)),ISERROR(SEARCH("golpeado",BZ9,1)),ISERROR(SEARCH("introdujo objeto",BZ9,1)),ISERROR(SEARCH("con golpe",BZ9,1))),"VERDADERO"),IF(AND(ISERROR(SEARCH("apagon",BZ9,1)),ISERROR(SEARCH("apagón",BZ9,1)),ISERROR(SEARCH("varia",MID(BZ9,MAX(SEARCH("energia",BZ9,1)-20,1),50),1)),ISERROR(SEARCH("varia",MID(BZ9,MAX(SEARCH("voltaje",BZ9,1)-20,1),50),1)),ISERROR(SEARCH("problema",MID(BZ9,MAX(SEARCH(" electric",BZ9,1)-30,1),70),1)),ISERROR(SEARCH(" roedor",BZ9,1)),ISERROR(SEARCH(" raton",BZ9,1)),ISERROR(SEARCH("plaga",BZ9,1)),ISERROR(SEARCH(" rata",BZ9,1)),ISERROR(SEARCH("hormigas",BZ9,1)),ISERROR(SEARCH("gotera",BZ9,1)),ISERROR(SEARCH("mucha tierra",BZ9,1)),ISERROR(SEARCH("conexiones invertidas",BZ9,1)),ISERROR(SEARCH("polaridad esta mal",BZ9,1)),ISERROR(SEARCH("se quemo un transformador",BZ9,1)),ISERROR(SEARCH("descargas electricas",BZ9,1)),ISERROR(SEARCH("varia",MID(BZ9,MAX(SEARCH("voltage",BZ9,1)-30,1),60),1)),ISERROR(SEARCH("VOLTAJES ELVADOS",BZ9,1)),ISERROR(SEARCH("VOLTAGES ELVADOS",BZ9,1)),ISERROR(SEARCH("capacitores inflados",BZ9,1)),ISERROR(SEARCH("exeso de polvo",BZ9,1)),ISERROR(SEARCH("inundo",BZ9,1)),ISERROR(SEARCH("inunda",BZ9,1)),ISERROR(SEARCH("polaridad invertida",BZ9,1)),ISERROR(SEARCH("falla",MID(BZ9,MAX(SEARCH("energia",BZ9,1)-20,1),50),1)),ISERROR(SEARCH("cort",MID(BZ9,MAX(SEARCH("energia",BZ9,1)-20,1),50),1))),IF(AND(ISERROR(SEARCH("Mala operac",BZ9,1)),ISERROR(SEARCH("Mal operac",BZ9,1)),NOT(AND(NOT(ISERROR(SEARCH("fuera",MID(BZ9,MAX(SEARCH("stacker",BZ9,1)-20,1),50),1))),NOT(ISERROR(SEARCH("posicion",MID(BZ9,MAX(SEARCH("stacker",BZ9,1)-30,1),60),1))))),ISERROR(SEARCH("mala calidad",MID(BZ9,MAX(SEARCH("billete",BZ9,1)-40,1),70),1)),ISERROR(SEARCH("arruga",MID(BZ9,MAX(SEARCH("billete",BZ9,1)-30,1),60),1)),ISERROR(SEARCH("mal estado",MID(BZ9,MAX(SEARCH("billete",BZ9,1)-30,1),60),1)),ISERROR(SEARCH("falla operativa",BZ9,1)),NOT(AND(NOT(ISERROR(SEARCH("tamaño",MID(BZ9,MAX(SEARCH("billete",BZ9,1)-30,1),50),1))),NOT(ISERROR(SEARCH("diferente",MID(BZ9,MAX(SEARCH("billete",BZ9,1)-30,1),50),1))))),NOT(AND(NOT(ISERROR(SEARCH("tamaño",MID(BZ9,MAX(SEARCH("billete",BZ9,1)-30,1),50),1))),NOT(ISERROR(SEARCH("distinto",MID(BZ9,MAX(SEARCH("billete",BZ9,1)-30,1),60),1))))),ISERROR(SEARCH("dotacion inadecuada",BZ9,1)),ISERROR(SEARCH("mala dotacion",BZ9,1)),ISERROR(SEARCH("no tiene efectivo",BZ9,1)),ISERROR(SEARCH("no tiene dinero",BZ9,1)),ISERROR(SEARCH("liga de fajilla atorada",BZ9,1)),ISERROR(SEARCH("liga",MID(BZ9,MAX(SEARCH("fajilla",BZ9,1)-30,1),50),1)),ISERROR(SEARCH("mal manipul",MID(BZ9,MAX(SEARCH("staker",BZ9,1)-40,1),70),1)),ISERROR(SEARCH("mal manipul",MID(BZ9,MAX(SEARCH("stacker",BZ9,1)-40,1),70),1)),ISERROR(SEARCH("stacker fuera de posicion",BZ9,1)),ISERROR(SEARCH("stacker fuera de pocicion",BZ9,1)),NOT(AND(NOT(ISERROR(SEARCH("mala",MID(BZ9,MAX(SEARCH("billete",BZ9,1)-20,1),50),1))),NOT(ISERROR(SEARCH("calidad",MID(BZ9,MAX(SEARCH("billete",BZ9,1)-30,1),60),1))))),NOT(AND(NOT(ISERROR(SEARCH("adecuado",MID(BZ9,MAX(SEARCH("billete",BZ9,1)-30,1),60),1))),NOT(ISERROR(SEARCH("acomodo",MID(BZ9,MAX(SEARCH("billete",BZ9,1)-30,1),60),1)))))),IF(AND(ISERROR(SEARCH("falta de regulador",BZ9,1)),ISERROR(SEARCH("falta de aire acondicionado",BZ9,1)),ISERROR(SEARCH("sin de aire acondicionado",BZ9,1)),ISERROR(SEARCH("sin regulador",BZ9,1)),NOT(AND(NOT(ISERROR(SEARCH("Condiciones",MID(BZ9,MAX(SEARCH("site",BZ9,1)-30,1),60),1))),NOT(ISERROR(SEARCH("inadecua",MID(BZ9,MAX(SEARCH("site",BZ9,1)-30,1),60),1))))),NOT(AND(NOT(ISERROR(SEARCH("necesita",MID(BZ9,MAX(SEARCH("site",BZ9,1)-30,1),60),1))),NOT(ISERROR(SEARCH("adecua",MID(BZ9,MAX(SEARCH("site",BZ9,1)-30,1),60),1)))))),IF(AND(ISERROR(SEARCH("problem",MID(BZ9,MAX(SEARCH("comunicacio",BZ9,1)-30,1),70),1)),NOT(AND(NOT(ISERROR(SEARCH("equipo",MID(BZ9,MAX(SEARCH("comunicac",BZ9,1)-30,1),80),1))),NOT(ISERROR(SEARCH("apagado",MID(BZ9,MAX(SEARCH("comunicac",BZ9,1)-30,1),80),1))))),ISERROR(SEARCH("rojo",MID(BZ9,MAX(SEARCH(" cisco",BZ9,1)-20,1),50),1)),ISERROR(SEARCH("apagado",MID(BZ9,MAX(SEARCH(" cisco",BZ9,1)-30,1),60),1)),ISERROR(SEARCH("apagado",MID(BZ9,MAX(SEARCH(" router",BZ9,1)-30,1),60),1)),NOT(AND(NOT(ISERROR(SEARCH("equipo",MID(BZ9,MAX(SEARCH("comunicac",BZ9,1)-20,1),70),1))),NOT(ISERROR(SEARCH("alarma",MID(BZ9,MAX(SEARCH("comunicac",BZ9,1)-30,1),80),1))))),ISERROR(SEARCH("reinicio",MID(BZ9,MAX(SEARCH("modem",BZ9,1)-30,1),60),1)),ISERROR(SEARCH("rojo",MID(BZ9,MAX(SEARCH("modem",BZ9,1)-20,1),50),1)),ISERROR(SEARCH("no responde",MID(BZ9,MAX(SEARCH(" ethernet",BZ9,1)-30,1),60),1)),ISERROR(SEARCH("fall",MID(BZ9,MAX(SEARCH(" ethernet",BZ9,1)-20,1),50),1)),ISERROR(SEARCH("enlace",MID(BZ9,MAX(SEARCH("satelital",BZ9,1)-30,1),70),1))),IF(IF(AND(NOT(AND(NOT(ISERROR(SEARCH("unicamente",MID(BZ9,MAX(SEARCH("atm en servicio",BZ9,1)-30,1),80),1))),NOT(ISERROR(SEARCH("consulta",MID(BZ9,MAX(SEARCH("atm en servicio",BZ9,1)-20,1),70),1))))),NOT(AND(NOT(ISERROR(SEARCH("solo",MID(BZ9,MAX(SEARCH("atm en servicio",BZ9,1)-20,1),70),1))),NOT(ISERROR(SEARCH("consulta",MID(BZ9,MAX(SEARCH("atm en servicio",BZ9,1)-30,1),80),1))))),ISERROR(SEARCH("sin dispensar",MID(BZ9,MAX(SEARCH("ATM en servicio",BZ9,1)-30,1),80),1))),AND(ISERROR(SEARCH("ATM sin falla",BZ9,1)),ISERROR(SEARCH("cajero sin falla",BZ9,1)),ISERROR(SEARCH("falla",MID(BZ9,MAX(SEARCH("sin encontr",BZ9,1)-20,1),60),1)),ISERROR(SEARCH("falla",MID(BZ9,MAX(SEARCH("No se detec",BZ9,1)-20,1),60),1)),ISERROR(SEARCH("no present",MID(BZ9,MAX(SEARCH("falla",BZ9,1)-30,1),60),1)),ISERROR(SEARCH("equipo no tiene falla",BZ9,1)),ISERROR(SEARCH("sin presentar falla",BZ9,1)),ISERROR(SEARCH("equipo sin falla",BZ9,1)),ISERROR(SEARCH("codigo 00",BZ9,1)),ISERROR(SEARCH("visita en falso",BZ9,1)),ISERROR(SEARCH("sin presentar error",BZ9,1)),ISERROR(SEARCH("no se detecto falla",BZ9,1)),ISERROR(SEARCH("se enc",MID(BZ9,MAX(SEARCH("ATM en servicio",BZ9,1)-30,1),80),1)),NOT(AND(NOT(ISERROR(SEARCH("ATM",MID(BZ9,MAX(SEARCH("se enc",BZ9,1)-20,1),60),1))),NOT(ISERROR(SEARCH("transac",MID(BZ9,MAX(SEARCH("se enc",BZ9,1)-30,1),70),1)))))),"VERDADERO"),"-","ATM sin falla"),"Falla en comunicaciones"),"Condiciones de site"),"Mala operación"),"Siniestro"),"Vandalismo"),"-"),"-")</f>
        <v>-</v>
      </c>
      <c r="CC9" s="3" t="str">
        <f>IF(AND(ISERROR(SEARCH("dial bloqueado",BZ9,1)),ISERROR(SEARCH("apertura",MID(BZ9,MAX(SEARCH("violencia",BZ9,1)-30,1),70),1))),IFERROR(VLOOKUP(BF9&amp;BH9,'-'!I:N,6,0),IFERROR(VLOOKUP(BD9,'-'!A:C,3,0),IFERROR(VLOOKUP(BH9,'-'!E:G,3,0),"-"))),"Seg. Fisica")</f>
        <v>-</v>
      </c>
      <c r="CD9" s="3" t="str">
        <f t="shared" si="2"/>
        <v>-</v>
      </c>
      <c r="CE9" s="3" t="s">
        <v>10</v>
      </c>
      <c r="CF9" s="3" t="s">
        <v>10</v>
      </c>
      <c r="CG9" s="3" t="s">
        <v>10</v>
      </c>
      <c r="CH9" s="3" t="s">
        <v>10</v>
      </c>
      <c r="CI9" s="3" t="s">
        <v>10</v>
      </c>
      <c r="CJ9" s="3" t="s">
        <v>10</v>
      </c>
      <c r="CK9" s="3" t="s">
        <v>10</v>
      </c>
      <c r="CL9" s="3" t="s">
        <v>10</v>
      </c>
      <c r="CM9" s="3" t="s">
        <v>10</v>
      </c>
      <c r="CN9" s="3" t="s">
        <v>10</v>
      </c>
      <c r="CO9" s="3" t="s">
        <v>10</v>
      </c>
      <c r="CP9" s="3" t="s">
        <v>10</v>
      </c>
      <c r="CQ9" s="3" t="str">
        <f>IF(CD9="-","-","[_ "&amp;BZ9&amp;" _]")</f>
        <v>-</v>
      </c>
      <c r="CR9" s="3" t="s">
        <v>10</v>
      </c>
      <c r="CS9" s="3" t="s">
        <v>10</v>
      </c>
      <c r="CT9" s="3" t="str">
        <f>CA9&amp;"-"&amp;INT(T9)</f>
        <v>--0</v>
      </c>
      <c r="CU9" s="3" t="str">
        <f>IF(ISERROR(MAX(AX9,AT9,AR9)*1),"-",CA9&amp;"-"&amp;INT(MAX(AX9,AT9,AR9)))</f>
        <v>--0</v>
      </c>
      <c r="CV9" s="3">
        <f t="shared" si="3"/>
        <v>0</v>
      </c>
    </row>
    <row r="10" spans="1:103" x14ac:dyDescent="0.35">
      <c r="CA10" s="2" t="str">
        <f>IFERROR(MID(F10,IFERROR(SEARCH("i1",F10),IFERROR(SEARCH("i2",F10),IFERROR(SEARCH("i3",F10), IFERROR(SEARCH("i4",F10),IFERROR(SEARCH("i5",F10),IFERROR(SEARCH("i6",F10),IFERROR(SEARCH("i7",F10),IFERROR(SEARCH("i8",F10), IFERROR(SEARCH("i9",F10),IFERROR(SEARCH("D1",F10),IFERROR(SEARCH("D2",F10),IFERROR(SEARCH("D3",F10), IFERROR(SEARCH("D4",F10),IFERROR(SEARCH("D5",F10),IFERROR(SEARCH("D6",F10),IFERROR(SEARCH("D7",F10),IFERROR(SEARCH("D8",F10), IFERROR(SEARCH("D9",F10), IFERROR(SEARCH("D0",F10), IFERROR(SEARCH("I0",F10),"-")))))))))))))))))))),6),IFERROR(MID(K10,IFERROR(SEARCH("i1",K10),IFERROR(SEARCH("i2",K10),IFERROR(SEARCH("i3",K10),IFERROR(SEARCH("i4",K10),IFERROR(SEARCH("i5",K10),IFERROR(SEARCH("i6",K10),IFERROR(SEARCH("i7",K10),IFERROR(SEARCH("i8",K10),IFERROR(SEARCH("i9",K10),IFERROR(SEARCH("D1",K10),IFERROR(SEARCH("D2",K10),IFERROR(SEARCH("D3",K10),IFERROR(SEARCH("D4",K10),IFERROR(SEARCH("D5",K10),IFERROR(SEARCH("D6",K10),IFERROR(SEARCH("D7",K10),IFERROR(SEARCH("D8",K10),IFERROR(SEARCH("D9",K10),IFERROR(SEARCH("D0",K10),IFERROR(SEARCH("I0",K10),"-")))))))))))))))))))),6),IFERROR(MID(BZ10,IFERROR(SEARCH("i1",BZ10),IFERROR(SEARCH("i2",BZ10),IFERROR(SEARCH("i3",BZ10), IFERROR(SEARCH("i4",BZ10),IFERROR(SEARCH("i5",BZ10),IFERROR(SEARCH("i6",BZ10),IFERROR(SEARCH("i7",BZ10),IFERROR(SEARCH("i8",BZ10), IFERROR(SEARCH("i9",BZ10),IFERROR(SEARCH("D1",BZ10),IFERROR(SEARCH("D2",BZ10),IFERROR(SEARCH("D3",BZ10), IFERROR(SEARCH("D4",BZ10),IFERROR(SEARCH("D5",BZ10),IFERROR(SEARCH("D6",BZ10),IFERROR(SEARCH("D7",BZ10),IFERROR(SEARCH("D8",BZ10), IFERROR(SEARCH("D9",BZ10), IFERROR(SEARCH("D0",BZ10), IFERROR(SEARCH("I0",BZ10),"-")))))))))))))))))))),6),"-")))</f>
        <v>-</v>
      </c>
      <c r="CB10" s="3" t="str">
        <f>IFERROR(IF(AND(ISERROR(SEARCH("Uso normal",BZ10,1)),ISERROR(SEARCH("uso norml",BZ10,1))),IF(IF(ISERROR(SEARCH("kit antivandal",BZ10,1)),AND(ISERROR(SEARCH("vandal",BZ10,1)),ISERROR(SEARCH("bandal",BZ10,1)),ISERROR(SEARCH("golpeado",BZ10,1)),ISERROR(SEARCH("introdujo objeto",BZ10,1)),ISERROR(SEARCH("con golpe",BZ10,1))),"VERDADERO"),IF(AND(ISERROR(SEARCH("apagon",BZ10,1)),ISERROR(SEARCH("apagón",BZ10,1)),ISERROR(SEARCH("varia",MID(BZ10,MAX(SEARCH("energia",BZ10,1)-20,1),50),1)),ISERROR(SEARCH("varia",MID(BZ10,MAX(SEARCH("voltaje",BZ10,1)-20,1),50),1)),ISERROR(SEARCH("problema",MID(BZ10,MAX(SEARCH(" electric",BZ10,1)-30,1),70),1)),ISERROR(SEARCH(" roedor",BZ10,1)),ISERROR(SEARCH(" raton",BZ10,1)),ISERROR(SEARCH("plaga",BZ10,1)),ISERROR(SEARCH(" rata",BZ10,1)),ISERROR(SEARCH("hormigas",BZ10,1)),ISERROR(SEARCH("gotera",BZ10,1)),ISERROR(SEARCH("mucha tierra",BZ10,1)),ISERROR(SEARCH("conexiones invertidas",BZ10,1)),ISERROR(SEARCH("polaridad esta mal",BZ10,1)),ISERROR(SEARCH("se quemo un transformador",BZ10,1)),ISERROR(SEARCH("descargas electricas",BZ10,1)),ISERROR(SEARCH("varia",MID(BZ10,MAX(SEARCH("voltage",BZ10,1)-30,1),60),1)),ISERROR(SEARCH("VOLTAJES ELVADOS",BZ10,1)),ISERROR(SEARCH("VOLTAGES ELVADOS",BZ10,1)),ISERROR(SEARCH("capacitores inflados",BZ10,1)),ISERROR(SEARCH("exeso de polvo",BZ10,1)),ISERROR(SEARCH("inundo",BZ10,1)),ISERROR(SEARCH("inunda",BZ10,1)),ISERROR(SEARCH("polaridad invertida",BZ10,1)),ISERROR(SEARCH("falla",MID(BZ10,MAX(SEARCH("energia",BZ10,1)-20,1),50),1)),ISERROR(SEARCH("cort",MID(BZ10,MAX(SEARCH("energia",BZ10,1)-20,1),50),1))),IF(AND(ISERROR(SEARCH("Mala operac",BZ10,1)),ISERROR(SEARCH("Mal operac",BZ10,1)),NOT(AND(NOT(ISERROR(SEARCH("fuera",MID(BZ10,MAX(SEARCH("stacker",BZ10,1)-20,1),50),1))),NOT(ISERROR(SEARCH("posicion",MID(BZ10,MAX(SEARCH("stacker",BZ10,1)-30,1),60),1))))),ISERROR(SEARCH("mala calidad",MID(BZ10,MAX(SEARCH("billete",BZ10,1)-40,1),70),1)),ISERROR(SEARCH("arruga",MID(BZ10,MAX(SEARCH("billete",BZ10,1)-30,1),60),1)),ISERROR(SEARCH("mal estado",MID(BZ10,MAX(SEARCH("billete",BZ10,1)-30,1),60),1)),ISERROR(SEARCH("falla operativa",BZ10,1)),NOT(AND(NOT(ISERROR(SEARCH("tamaño",MID(BZ10,MAX(SEARCH("billete",BZ10,1)-30,1),50),1))),NOT(ISERROR(SEARCH("diferente",MID(BZ10,MAX(SEARCH("billete",BZ10,1)-30,1),50),1))))),NOT(AND(NOT(ISERROR(SEARCH("tamaño",MID(BZ10,MAX(SEARCH("billete",BZ10,1)-30,1),50),1))),NOT(ISERROR(SEARCH("distinto",MID(BZ10,MAX(SEARCH("billete",BZ10,1)-30,1),60),1))))),ISERROR(SEARCH("dotacion inadecuada",BZ10,1)),ISERROR(SEARCH("mala dotacion",BZ10,1)),ISERROR(SEARCH("no tiene efectivo",BZ10,1)),ISERROR(SEARCH("no tiene dinero",BZ10,1)),ISERROR(SEARCH("liga de fajilla atorada",BZ10,1)),ISERROR(SEARCH("liga",MID(BZ10,MAX(SEARCH("fajilla",BZ10,1)-30,1),50),1)),ISERROR(SEARCH("mal manipul",MID(BZ10,MAX(SEARCH("staker",BZ10,1)-40,1),70),1)),ISERROR(SEARCH("mal manipul",MID(BZ10,MAX(SEARCH("stacker",BZ10,1)-40,1),70),1)),ISERROR(SEARCH("stacker fuera de posicion",BZ10,1)),ISERROR(SEARCH("stacker fuera de pocicion",BZ10,1)),NOT(AND(NOT(ISERROR(SEARCH("mala",MID(BZ10,MAX(SEARCH("billete",BZ10,1)-20,1),50),1))),NOT(ISERROR(SEARCH("calidad",MID(BZ10,MAX(SEARCH("billete",BZ10,1)-30,1),60),1))))),NOT(AND(NOT(ISERROR(SEARCH("adecuado",MID(BZ10,MAX(SEARCH("billete",BZ10,1)-30,1),60),1))),NOT(ISERROR(SEARCH("acomodo",MID(BZ10,MAX(SEARCH("billete",BZ10,1)-30,1),60),1)))))),IF(AND(ISERROR(SEARCH("falta de regulador",BZ10,1)),ISERROR(SEARCH("falta de aire acondicionado",BZ10,1)),ISERROR(SEARCH("sin de aire acondicionado",BZ10,1)),ISERROR(SEARCH("sin regulador",BZ10,1)),NOT(AND(NOT(ISERROR(SEARCH("Condiciones",MID(BZ10,MAX(SEARCH("site",BZ10,1)-30,1),60),1))),NOT(ISERROR(SEARCH("inadecua",MID(BZ10,MAX(SEARCH("site",BZ10,1)-30,1),60),1))))),NOT(AND(NOT(ISERROR(SEARCH("necesita",MID(BZ10,MAX(SEARCH("site",BZ10,1)-30,1),60),1))),NOT(ISERROR(SEARCH("adecua",MID(BZ10,MAX(SEARCH("site",BZ10,1)-30,1),60),1)))))),IF(AND(ISERROR(SEARCH("problem",MID(BZ10,MAX(SEARCH("comunicacio",BZ10,1)-30,1),70),1)),NOT(AND(NOT(ISERROR(SEARCH("equipo",MID(BZ10,MAX(SEARCH("comunicac",BZ10,1)-30,1),80),1))),NOT(ISERROR(SEARCH("apagado",MID(BZ10,MAX(SEARCH("comunicac",BZ10,1)-30,1),80),1))))),ISERROR(SEARCH("rojo",MID(BZ10,MAX(SEARCH(" cisco",BZ10,1)-20,1),50),1)),ISERROR(SEARCH("apagado",MID(BZ10,MAX(SEARCH(" cisco",BZ10,1)-30,1),60),1)),ISERROR(SEARCH("apagado",MID(BZ10,MAX(SEARCH(" router",BZ10,1)-30,1),60),1)),NOT(AND(NOT(ISERROR(SEARCH("equipo",MID(BZ10,MAX(SEARCH("comunicac",BZ10,1)-20,1),70),1))),NOT(ISERROR(SEARCH("alarma",MID(BZ10,MAX(SEARCH("comunicac",BZ10,1)-30,1),80),1))))),ISERROR(SEARCH("reinicio",MID(BZ10,MAX(SEARCH("modem",BZ10,1)-30,1),60),1)),ISERROR(SEARCH("rojo",MID(BZ10,MAX(SEARCH("modem",BZ10,1)-20,1),50),1)),ISERROR(SEARCH("no responde",MID(BZ10,MAX(SEARCH(" ethernet",BZ10,1)-30,1),60),1)),ISERROR(SEARCH("fall",MID(BZ10,MAX(SEARCH(" ethernet",BZ10,1)-20,1),50),1)),ISERROR(SEARCH("enlace",MID(BZ10,MAX(SEARCH("satelital",BZ10,1)-30,1),70),1))),IF(IF(AND(NOT(AND(NOT(ISERROR(SEARCH("unicamente",MID(BZ10,MAX(SEARCH("atm en servicio",BZ10,1)-30,1),80),1))),NOT(ISERROR(SEARCH("consulta",MID(BZ10,MAX(SEARCH("atm en servicio",BZ10,1)-20,1),70),1))))),NOT(AND(NOT(ISERROR(SEARCH("solo",MID(BZ10,MAX(SEARCH("atm en servicio",BZ10,1)-20,1),70),1))),NOT(ISERROR(SEARCH("consulta",MID(BZ10,MAX(SEARCH("atm en servicio",BZ10,1)-30,1),80),1))))),ISERROR(SEARCH("sin dispensar",MID(BZ10,MAX(SEARCH("ATM en servicio",BZ10,1)-30,1),80),1))),AND(ISERROR(SEARCH("ATM sin falla",BZ10,1)),ISERROR(SEARCH("cajero sin falla",BZ10,1)),ISERROR(SEARCH("falla",MID(BZ10,MAX(SEARCH("sin encontr",BZ10,1)-20,1),60),1)),ISERROR(SEARCH("falla",MID(BZ10,MAX(SEARCH("No se detec",BZ10,1)-20,1),60),1)),ISERROR(SEARCH("no present",MID(BZ10,MAX(SEARCH("falla",BZ10,1)-30,1),60),1)),ISERROR(SEARCH("equipo no tiene falla",BZ10,1)),ISERROR(SEARCH("sin presentar falla",BZ10,1)),ISERROR(SEARCH("equipo sin falla",BZ10,1)),ISERROR(SEARCH("codigo 00",BZ10,1)),ISERROR(SEARCH("visita en falso",BZ10,1)),ISERROR(SEARCH("sin presentar error",BZ10,1)),ISERROR(SEARCH("no se detecto falla",BZ10,1)),ISERROR(SEARCH("se enc",MID(BZ10,MAX(SEARCH("ATM en servicio",BZ10,1)-30,1),80),1)),NOT(AND(NOT(ISERROR(SEARCH("ATM",MID(BZ10,MAX(SEARCH("se enc",BZ10,1)-20,1),60),1))),NOT(ISERROR(SEARCH("transac",MID(BZ10,MAX(SEARCH("se enc",BZ10,1)-30,1),70),1)))))),"VERDADERO"),"-","ATM sin falla"),"Falla en comunicaciones"),"Condiciones de site"),"Mala operación"),"Siniestro"),"Vandalismo"),"-"),"-")</f>
        <v>-</v>
      </c>
      <c r="CC10" s="3" t="str">
        <f>IF(AND(ISERROR(SEARCH("dial bloqueado",BZ10,1)),ISERROR(SEARCH("apertura",MID(BZ10,MAX(SEARCH("violencia",BZ10,1)-30,1),70),1))),IFERROR(VLOOKUP(BF10&amp;BH10,'-'!I:N,6,0),IFERROR(VLOOKUP(BD10,'-'!A:C,3,0),IFERROR(VLOOKUP(BH10,'-'!E:G,3,0),"-"))),"Seg. Fisica")</f>
        <v>-</v>
      </c>
      <c r="CD10" s="3" t="str">
        <f t="shared" si="2"/>
        <v>-</v>
      </c>
      <c r="CE10" s="3" t="s">
        <v>10</v>
      </c>
      <c r="CF10" s="3" t="s">
        <v>10</v>
      </c>
      <c r="CG10" s="3" t="s">
        <v>10</v>
      </c>
      <c r="CH10" s="3" t="s">
        <v>10</v>
      </c>
      <c r="CI10" s="3" t="s">
        <v>10</v>
      </c>
      <c r="CJ10" s="3" t="s">
        <v>10</v>
      </c>
      <c r="CK10" s="3" t="s">
        <v>10</v>
      </c>
      <c r="CL10" s="3" t="s">
        <v>10</v>
      </c>
      <c r="CM10" s="3" t="s">
        <v>10</v>
      </c>
      <c r="CN10" s="3" t="s">
        <v>10</v>
      </c>
      <c r="CO10" s="3" t="s">
        <v>10</v>
      </c>
      <c r="CP10" s="3" t="s">
        <v>10</v>
      </c>
      <c r="CQ10" s="3" t="str">
        <f>IF(CD10="-","-","[_ "&amp;BZ10&amp;" _]")</f>
        <v>-</v>
      </c>
      <c r="CR10" s="3" t="s">
        <v>10</v>
      </c>
      <c r="CS10" s="3" t="s">
        <v>10</v>
      </c>
      <c r="CT10" s="3" t="str">
        <f>CA10&amp;"-"&amp;INT(T10)</f>
        <v>--0</v>
      </c>
      <c r="CU10" s="3" t="str">
        <f>IF(ISERROR(MAX(AX10,AT10,AR10)*1),"-",CA10&amp;"-"&amp;INT(MAX(AX10,AT10,AR10)))</f>
        <v>--0</v>
      </c>
      <c r="CV10" s="3">
        <f t="shared" si="3"/>
        <v>0</v>
      </c>
    </row>
  </sheetData>
  <sheetProtection algorithmName="SHA-512" hashValue="Ml/Y1HmCHz9jNcE83hLdsoiij+O/r6pEhMKQs+/+K1KcX5CgI5I+r1y4NpTmm8jVYr2hUNGcsUFf7cq7adYRHg==" saltValue="z09G/3SYWWPh3mNvzQ/Raw==" spinCount="100000" sheet="1" objects="1" scenarios="1"/>
  <autoFilter ref="A1:CV5" xr:uid="{00000000-0009-0000-0000-000001000000}">
    <sortState xmlns:xlrd2="http://schemas.microsoft.com/office/spreadsheetml/2017/richdata2" ref="A2:CV8322">
      <sortCondition ref="A1:A8369"/>
    </sortState>
  </autoFilter>
  <pageMargins left="0.7" right="0.7" top="0.75" bottom="0.75" header="0.3" footer="0.3"/>
  <pageSetup paperSize="9" orientation="portrait" horizont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N18"/>
  <sheetViews>
    <sheetView workbookViewId="0"/>
  </sheetViews>
  <sheetFormatPr defaultColWidth="11.453125" defaultRowHeight="14.5" x14ac:dyDescent="0.35"/>
  <cols>
    <col min="4" max="4" width="2.7265625" customWidth="1"/>
    <col min="8" max="8" width="2.7265625" customWidth="1"/>
  </cols>
  <sheetData>
    <row r="1" spans="1:14" x14ac:dyDescent="0.35">
      <c r="A1" t="s">
        <v>147</v>
      </c>
      <c r="B1" t="s">
        <v>148</v>
      </c>
      <c r="C1" t="s">
        <v>10</v>
      </c>
      <c r="E1" t="s">
        <v>147</v>
      </c>
      <c r="F1" t="s">
        <v>149</v>
      </c>
      <c r="G1" t="s">
        <v>10</v>
      </c>
      <c r="I1" t="s">
        <v>164</v>
      </c>
      <c r="J1" t="s">
        <v>163</v>
      </c>
      <c r="K1" t="s">
        <v>162</v>
      </c>
      <c r="L1" t="s">
        <v>147</v>
      </c>
      <c r="M1" t="s">
        <v>149</v>
      </c>
      <c r="N1" t="s">
        <v>10</v>
      </c>
    </row>
    <row r="2" spans="1:14" x14ac:dyDescent="0.35">
      <c r="A2" t="s">
        <v>92</v>
      </c>
      <c r="B2" t="s">
        <v>93</v>
      </c>
      <c r="C2" t="s">
        <v>3</v>
      </c>
      <c r="E2" t="s">
        <v>134</v>
      </c>
      <c r="F2" t="s">
        <v>135</v>
      </c>
      <c r="G2" t="s">
        <v>9</v>
      </c>
      <c r="I2" t="s">
        <v>156</v>
      </c>
      <c r="J2" t="s">
        <v>106</v>
      </c>
      <c r="K2" t="s">
        <v>107</v>
      </c>
      <c r="L2" t="s">
        <v>120</v>
      </c>
      <c r="M2" t="s">
        <v>121</v>
      </c>
      <c r="N2" t="s">
        <v>165</v>
      </c>
    </row>
    <row r="3" spans="1:14" x14ac:dyDescent="0.35">
      <c r="A3" t="s">
        <v>112</v>
      </c>
      <c r="B3" t="s">
        <v>113</v>
      </c>
      <c r="C3" t="s">
        <v>8</v>
      </c>
      <c r="E3" t="s">
        <v>94</v>
      </c>
      <c r="F3" t="s">
        <v>95</v>
      </c>
      <c r="G3" t="s">
        <v>3</v>
      </c>
      <c r="I3" t="s">
        <v>157</v>
      </c>
      <c r="J3" t="s">
        <v>106</v>
      </c>
      <c r="K3" t="s">
        <v>107</v>
      </c>
      <c r="L3" t="s">
        <v>94</v>
      </c>
      <c r="M3" t="s">
        <v>95</v>
      </c>
      <c r="N3" t="s">
        <v>165</v>
      </c>
    </row>
    <row r="4" spans="1:14" x14ac:dyDescent="0.35">
      <c r="A4" t="s">
        <v>114</v>
      </c>
      <c r="B4" t="s">
        <v>115</v>
      </c>
      <c r="C4" t="s">
        <v>2</v>
      </c>
      <c r="E4" t="s">
        <v>102</v>
      </c>
      <c r="F4" t="s">
        <v>103</v>
      </c>
      <c r="G4" t="s">
        <v>138</v>
      </c>
      <c r="I4" t="s">
        <v>158</v>
      </c>
      <c r="J4" t="s">
        <v>104</v>
      </c>
      <c r="K4" t="s">
        <v>105</v>
      </c>
      <c r="L4" t="s">
        <v>94</v>
      </c>
      <c r="M4" t="s">
        <v>95</v>
      </c>
      <c r="N4" t="s">
        <v>165</v>
      </c>
    </row>
    <row r="5" spans="1:14" x14ac:dyDescent="0.35">
      <c r="A5" t="s">
        <v>118</v>
      </c>
      <c r="B5" t="s">
        <v>119</v>
      </c>
      <c r="C5" t="s">
        <v>9</v>
      </c>
      <c r="E5" t="s">
        <v>108</v>
      </c>
      <c r="F5" t="s">
        <v>109</v>
      </c>
      <c r="G5" t="s">
        <v>138</v>
      </c>
      <c r="I5" t="s">
        <v>159</v>
      </c>
      <c r="J5" t="s">
        <v>143</v>
      </c>
      <c r="K5" t="s">
        <v>144</v>
      </c>
      <c r="L5" t="s">
        <v>120</v>
      </c>
      <c r="M5" t="s">
        <v>121</v>
      </c>
      <c r="N5" t="s">
        <v>165</v>
      </c>
    </row>
    <row r="6" spans="1:14" x14ac:dyDescent="0.35">
      <c r="A6" t="s">
        <v>128</v>
      </c>
      <c r="B6" t="s">
        <v>129</v>
      </c>
      <c r="C6" t="s">
        <v>9</v>
      </c>
      <c r="E6" t="s">
        <v>116</v>
      </c>
      <c r="F6" t="s">
        <v>117</v>
      </c>
      <c r="G6" t="s">
        <v>2</v>
      </c>
      <c r="I6" t="s">
        <v>160</v>
      </c>
      <c r="J6" t="s">
        <v>104</v>
      </c>
      <c r="K6" t="s">
        <v>105</v>
      </c>
      <c r="L6" t="s">
        <v>120</v>
      </c>
      <c r="M6" t="s">
        <v>121</v>
      </c>
      <c r="N6" t="s">
        <v>165</v>
      </c>
    </row>
    <row r="7" spans="1:14" x14ac:dyDescent="0.35">
      <c r="A7" t="s">
        <v>122</v>
      </c>
      <c r="B7" t="s">
        <v>123</v>
      </c>
      <c r="C7" t="s">
        <v>9</v>
      </c>
      <c r="E7" t="s">
        <v>126</v>
      </c>
      <c r="F7" t="s">
        <v>127</v>
      </c>
      <c r="G7" t="s">
        <v>138</v>
      </c>
      <c r="I7" t="s">
        <v>161</v>
      </c>
      <c r="J7" t="s">
        <v>143</v>
      </c>
      <c r="K7" t="s">
        <v>144</v>
      </c>
      <c r="L7" t="s">
        <v>94</v>
      </c>
      <c r="M7" t="s">
        <v>95</v>
      </c>
      <c r="N7" t="s">
        <v>165</v>
      </c>
    </row>
    <row r="8" spans="1:14" x14ac:dyDescent="0.35">
      <c r="A8" t="s">
        <v>96</v>
      </c>
      <c r="B8" t="s">
        <v>97</v>
      </c>
      <c r="C8" t="s">
        <v>2</v>
      </c>
      <c r="E8" t="s">
        <v>110</v>
      </c>
      <c r="F8" t="s">
        <v>111</v>
      </c>
      <c r="G8" t="s">
        <v>138</v>
      </c>
    </row>
    <row r="9" spans="1:14" x14ac:dyDescent="0.35">
      <c r="A9" t="s">
        <v>139</v>
      </c>
      <c r="B9" t="s">
        <v>140</v>
      </c>
      <c r="C9" t="s">
        <v>9</v>
      </c>
      <c r="E9" t="s">
        <v>132</v>
      </c>
      <c r="F9" t="s">
        <v>133</v>
      </c>
      <c r="G9" t="s">
        <v>138</v>
      </c>
    </row>
    <row r="10" spans="1:14" x14ac:dyDescent="0.35">
      <c r="A10" t="s">
        <v>130</v>
      </c>
      <c r="B10" t="s">
        <v>131</v>
      </c>
      <c r="C10" t="s">
        <v>138</v>
      </c>
      <c r="E10" t="s">
        <v>150</v>
      </c>
      <c r="F10" t="s">
        <v>151</v>
      </c>
      <c r="G10" t="s">
        <v>138</v>
      </c>
    </row>
    <row r="11" spans="1:14" x14ac:dyDescent="0.35">
      <c r="A11" t="s">
        <v>98</v>
      </c>
      <c r="B11" t="s">
        <v>99</v>
      </c>
      <c r="C11" t="s">
        <v>138</v>
      </c>
    </row>
    <row r="12" spans="1:14" x14ac:dyDescent="0.35">
      <c r="A12" t="s">
        <v>100</v>
      </c>
      <c r="B12" t="s">
        <v>101</v>
      </c>
      <c r="C12" t="s">
        <v>138</v>
      </c>
    </row>
    <row r="13" spans="1:14" x14ac:dyDescent="0.35">
      <c r="A13" t="s">
        <v>124</v>
      </c>
      <c r="B13" t="s">
        <v>125</v>
      </c>
      <c r="C13" t="s">
        <v>138</v>
      </c>
    </row>
    <row r="14" spans="1:14" x14ac:dyDescent="0.35">
      <c r="A14" t="s">
        <v>141</v>
      </c>
      <c r="B14" t="s">
        <v>142</v>
      </c>
      <c r="C14" t="s">
        <v>138</v>
      </c>
    </row>
    <row r="15" spans="1:14" x14ac:dyDescent="0.35">
      <c r="A15" t="s">
        <v>136</v>
      </c>
      <c r="B15" t="s">
        <v>137</v>
      </c>
      <c r="C15" t="s">
        <v>138</v>
      </c>
    </row>
    <row r="16" spans="1:14" x14ac:dyDescent="0.35">
      <c r="A16" t="s">
        <v>152</v>
      </c>
      <c r="B16" t="s">
        <v>153</v>
      </c>
      <c r="C16" t="s">
        <v>138</v>
      </c>
    </row>
    <row r="17" spans="1:3" x14ac:dyDescent="0.35">
      <c r="A17" t="s">
        <v>154</v>
      </c>
      <c r="B17" t="s">
        <v>155</v>
      </c>
      <c r="C17" t="s">
        <v>2</v>
      </c>
    </row>
    <row r="18" spans="1:3" x14ac:dyDescent="0.35">
      <c r="A18" t="s">
        <v>145</v>
      </c>
      <c r="B18" t="s">
        <v>146</v>
      </c>
      <c r="C18" t="s">
        <v>2</v>
      </c>
    </row>
  </sheetData>
  <pageMargins left="0.7" right="0.7" top="0.75" bottom="0.75" header="0.3" footer="0.3"/>
  <pageSetup paperSize="9" orientation="portrait" horizontalDpi="300" verticalDpi="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EI</vt:lpstr>
    </vt:vector>
  </TitlesOfParts>
  <Company>Wincor Nixdorf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_ext Nieto, Hugo Jahaziel</dc:creator>
  <cp:lastModifiedBy>Home</cp:lastModifiedBy>
  <dcterms:created xsi:type="dcterms:W3CDTF">2013-04-05T00:09:22Z</dcterms:created>
  <dcterms:modified xsi:type="dcterms:W3CDTF">2025-11-20T03:37:42Z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-911546977</vt:i4>
  </property>
  <property fmtid="{D5CDD505-2E9C-101B-9397-08002B2CF9AE}" pid="3" name="_NewReviewCycle">
    <vt:lpwstr/>
  </property>
  <property fmtid="{D5CDD505-2E9C-101B-9397-08002B2CF9AE}" pid="4" name="_EmailSubject">
    <vt:lpwstr>HSBC_11iRetExt_eV04Fix00</vt:lpwstr>
  </property>
  <property fmtid="{D5CDD505-2E9C-101B-9397-08002B2CF9AE}" pid="5" name="_AuthorEmail">
    <vt:lpwstr>jahaziel.nieto.ext@dieboldnixdorf.com</vt:lpwstr>
  </property>
  <property fmtid="{D5CDD505-2E9C-101B-9397-08002B2CF9AE}" pid="6" name="_AuthorEmailDisplayName">
    <vt:lpwstr>_ext Nieto, Hugo Jahaziel</vt:lpwstr>
  </property>
  <property fmtid="{D5CDD505-2E9C-101B-9397-08002B2CF9AE}" pid="7" name="_ReviewingToolsShownOnce">
    <vt:lpwstr/>
  </property>
</Properties>
</file>