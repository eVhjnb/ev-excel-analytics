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me\OneDrive\Escritorio\GitHub\Excel\"/>
    </mc:Choice>
  </mc:AlternateContent>
  <xr:revisionPtr revIDLastSave="0" documentId="13_ncr:1_{907497A1-8326-42DC-92AA-BAD37DEB77C0}" xr6:coauthVersionLast="47" xr6:coauthVersionMax="47" xr10:uidLastSave="{00000000-0000-0000-0000-000000000000}"/>
  <bookViews>
    <workbookView xWindow="-110" yWindow="-110" windowWidth="19420" windowHeight="11500" activeTab="2" xr2:uid="{5B9984A6-B699-4EE6-8FB3-B7677A51F531}"/>
  </bookViews>
  <sheets>
    <sheet name="IT" sheetId="12" r:id="rId1"/>
    <sheet name="Recurrentes" sheetId="27" state="hidden" r:id="rId2"/>
    <sheet name="Notify" sheetId="17" r:id="rId3"/>
    <sheet name="Send" sheetId="26" r:id="rId4"/>
    <sheet name="WH" sheetId="25" r:id="rId5"/>
    <sheet name="-" sheetId="9" r:id="rId6"/>
  </sheets>
  <definedNames>
    <definedName name="_xlnm._FilterDatabase" localSheetId="2" hidden="1">Notify!$A$1:$T$134</definedName>
    <definedName name="_xlnm._FilterDatabase" localSheetId="1" hidden="1">Recurrentes!$H$1:$J$1</definedName>
    <definedName name="_xlnm._FilterDatabase" localSheetId="3" hidden="1">Send!$A$1:$K$1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7" l="1"/>
  <c r="O3" i="17"/>
  <c r="O2" i="17"/>
  <c r="O12" i="17"/>
  <c r="O11" i="17"/>
  <c r="O10" i="17"/>
  <c r="O9" i="17"/>
  <c r="O8" i="17"/>
  <c r="O7" i="17"/>
  <c r="O6" i="17"/>
  <c r="O5" i="17"/>
  <c r="O16" i="17"/>
  <c r="O15" i="17"/>
  <c r="O14" i="17"/>
  <c r="O13" i="17"/>
  <c r="O32" i="17"/>
  <c r="K32" i="17"/>
  <c r="M32" i="17" s="1"/>
  <c r="N32" i="17" s="1"/>
  <c r="O76" i="17"/>
  <c r="O73" i="17"/>
  <c r="O69" i="17"/>
  <c r="O68" i="17"/>
  <c r="O47" i="17"/>
  <c r="O42" i="17"/>
  <c r="O41" i="17"/>
  <c r="O40" i="17"/>
  <c r="O38" i="17"/>
  <c r="O37" i="17"/>
  <c r="O36" i="17"/>
  <c r="O33" i="17"/>
  <c r="O83" i="17"/>
  <c r="O65" i="17"/>
  <c r="O64" i="17"/>
  <c r="O63" i="17"/>
  <c r="O48" i="17"/>
  <c r="O74" i="17"/>
  <c r="O77" i="17"/>
  <c r="O45" i="17"/>
  <c r="O44" i="17"/>
  <c r="O71" i="17"/>
  <c r="O43" i="17"/>
  <c r="O70" i="17"/>
  <c r="O53" i="17"/>
  <c r="O51" i="17"/>
  <c r="O81" i="17"/>
  <c r="O80" i="17"/>
  <c r="O79" i="17"/>
  <c r="O50" i="17"/>
  <c r="O49" i="17"/>
  <c r="O54" i="17"/>
  <c r="O78" i="17"/>
  <c r="O66" i="17"/>
  <c r="O17" i="17"/>
  <c r="O56" i="17"/>
  <c r="O82" i="17"/>
  <c r="O39" i="17"/>
  <c r="O62" i="17"/>
  <c r="K54" i="17"/>
  <c r="M54" i="17" s="1"/>
  <c r="N54" i="17" s="1"/>
  <c r="K69" i="17"/>
  <c r="L69" i="17" s="1"/>
  <c r="K68" i="17"/>
  <c r="M68" i="17" s="1"/>
  <c r="N68" i="17" s="1"/>
  <c r="Q32" i="17" l="1"/>
  <c r="P32" i="17"/>
  <c r="L32" i="17"/>
  <c r="M69" i="17"/>
  <c r="Q54" i="17"/>
  <c r="P54" i="17"/>
  <c r="L54" i="17"/>
  <c r="Q68" i="17"/>
  <c r="P68" i="17"/>
  <c r="L68" i="17"/>
  <c r="O35" i="17"/>
  <c r="O34" i="17"/>
  <c r="O61" i="17"/>
  <c r="O60" i="17"/>
  <c r="O59" i="17"/>
  <c r="O58" i="17"/>
  <c r="O57" i="17"/>
  <c r="O55" i="17"/>
  <c r="O46" i="17"/>
  <c r="O52" i="17"/>
  <c r="O31" i="17"/>
  <c r="O75" i="17"/>
  <c r="O67" i="17"/>
  <c r="O72" i="17"/>
  <c r="O20" i="17"/>
  <c r="O21" i="17"/>
  <c r="O30" i="17"/>
  <c r="O29" i="17"/>
  <c r="O28" i="17"/>
  <c r="O26" i="17"/>
  <c r="O25" i="17"/>
  <c r="O27" i="17"/>
  <c r="K16" i="17"/>
  <c r="L16" i="17" s="1"/>
  <c r="O24" i="17"/>
  <c r="O23" i="17"/>
  <c r="O22" i="17"/>
  <c r="K62" i="17"/>
  <c r="L62" i="17" s="1"/>
  <c r="O85" i="17"/>
  <c r="O88" i="17"/>
  <c r="O115" i="17"/>
  <c r="K115" i="17"/>
  <c r="L115" i="17" s="1"/>
  <c r="K88" i="17"/>
  <c r="L88" i="17" s="1"/>
  <c r="K85" i="17"/>
  <c r="M85" i="17" s="1"/>
  <c r="N85" i="17" s="1"/>
  <c r="K20" i="17"/>
  <c r="M20" i="17" s="1"/>
  <c r="N20" i="17" s="1"/>
  <c r="K134" i="17"/>
  <c r="M134" i="17" s="1"/>
  <c r="K133" i="17"/>
  <c r="M133" i="17" s="1"/>
  <c r="K132" i="17"/>
  <c r="M132" i="17" s="1"/>
  <c r="N132" i="17" s="1"/>
  <c r="K131" i="17"/>
  <c r="M131" i="17" s="1"/>
  <c r="N131" i="17" s="1"/>
  <c r="K130" i="17"/>
  <c r="M130" i="17" s="1"/>
  <c r="N130" i="17" s="1"/>
  <c r="K129" i="17"/>
  <c r="M129" i="17" s="1"/>
  <c r="N129" i="17" s="1"/>
  <c r="K128" i="17"/>
  <c r="M128" i="17" s="1"/>
  <c r="N128" i="17" s="1"/>
  <c r="K127" i="17"/>
  <c r="M127" i="17" s="1"/>
  <c r="N127" i="17" s="1"/>
  <c r="K126" i="17"/>
  <c r="M126" i="17" s="1"/>
  <c r="K125" i="17"/>
  <c r="M125" i="17" s="1"/>
  <c r="K124" i="17"/>
  <c r="M124" i="17" s="1"/>
  <c r="K123" i="17"/>
  <c r="M123" i="17" s="1"/>
  <c r="N123" i="17" s="1"/>
  <c r="K122" i="17"/>
  <c r="L122" i="17" s="1"/>
  <c r="K121" i="17"/>
  <c r="M121" i="17" s="1"/>
  <c r="N121" i="17" s="1"/>
  <c r="K120" i="17"/>
  <c r="L120" i="17" s="1"/>
  <c r="K119" i="17"/>
  <c r="M119" i="17" s="1"/>
  <c r="N119" i="17" s="1"/>
  <c r="K118" i="17"/>
  <c r="L118" i="17" s="1"/>
  <c r="K117" i="17"/>
  <c r="M117" i="17" s="1"/>
  <c r="K116" i="17"/>
  <c r="L116" i="17" s="1"/>
  <c r="K114" i="17"/>
  <c r="M114" i="17" s="1"/>
  <c r="N114" i="17" s="1"/>
  <c r="K113" i="17"/>
  <c r="L113" i="17" s="1"/>
  <c r="K112" i="17"/>
  <c r="M112" i="17" s="1"/>
  <c r="N112" i="17" s="1"/>
  <c r="K111" i="17"/>
  <c r="L111" i="17" s="1"/>
  <c r="K110" i="17"/>
  <c r="M110" i="17" s="1"/>
  <c r="K109" i="17"/>
  <c r="L109" i="17" s="1"/>
  <c r="K108" i="17"/>
  <c r="M108" i="17" s="1"/>
  <c r="N108" i="17" s="1"/>
  <c r="K107" i="17"/>
  <c r="L107" i="17" s="1"/>
  <c r="K106" i="17"/>
  <c r="M106" i="17" s="1"/>
  <c r="N106" i="17" s="1"/>
  <c r="K105" i="17"/>
  <c r="L105" i="17" s="1"/>
  <c r="K104" i="17"/>
  <c r="M104" i="17" s="1"/>
  <c r="N104" i="17" s="1"/>
  <c r="K103" i="17"/>
  <c r="L103" i="17" s="1"/>
  <c r="K102" i="17"/>
  <c r="M102" i="17" s="1"/>
  <c r="K101" i="17"/>
  <c r="L101" i="17" s="1"/>
  <c r="K100" i="17"/>
  <c r="M100" i="17" s="1"/>
  <c r="K99" i="17"/>
  <c r="L99" i="17" s="1"/>
  <c r="K98" i="17"/>
  <c r="M98" i="17" s="1"/>
  <c r="N98" i="17" s="1"/>
  <c r="K97" i="17"/>
  <c r="L97" i="17" s="1"/>
  <c r="K96" i="17"/>
  <c r="M96" i="17" s="1"/>
  <c r="N96" i="17" s="1"/>
  <c r="K95" i="17"/>
  <c r="L95" i="17" s="1"/>
  <c r="K94" i="17"/>
  <c r="M94" i="17" s="1"/>
  <c r="K93" i="17"/>
  <c r="L93" i="17" s="1"/>
  <c r="K92" i="17"/>
  <c r="M92" i="17" s="1"/>
  <c r="K91" i="17"/>
  <c r="L91" i="17" s="1"/>
  <c r="K90" i="17"/>
  <c r="M90" i="17" s="1"/>
  <c r="N90" i="17" s="1"/>
  <c r="K89" i="17"/>
  <c r="L89" i="17" s="1"/>
  <c r="K87" i="17"/>
  <c r="M87" i="17" s="1"/>
  <c r="N87" i="17" s="1"/>
  <c r="K86" i="17"/>
  <c r="L86" i="17" s="1"/>
  <c r="K84" i="17"/>
  <c r="M84" i="17" s="1"/>
  <c r="K31" i="17"/>
  <c r="L31" i="17" s="1"/>
  <c r="K21" i="17"/>
  <c r="M21" i="17" s="1"/>
  <c r="K46" i="17"/>
  <c r="L46" i="17" s="1"/>
  <c r="K30" i="17"/>
  <c r="M30" i="17" s="1"/>
  <c r="N30" i="17" s="1"/>
  <c r="K29" i="17"/>
  <c r="L29" i="17" s="1"/>
  <c r="K28" i="17"/>
  <c r="M28" i="17" s="1"/>
  <c r="N28" i="17" s="1"/>
  <c r="K2" i="17"/>
  <c r="L2" i="17" s="1"/>
  <c r="K4" i="17"/>
  <c r="M4" i="17" s="1"/>
  <c r="N4" i="17" s="1"/>
  <c r="K3" i="17"/>
  <c r="L3" i="17" s="1"/>
  <c r="K35" i="17"/>
  <c r="M35" i="17" s="1"/>
  <c r="N35" i="17" s="1"/>
  <c r="K34" i="17"/>
  <c r="L34" i="17" s="1"/>
  <c r="K61" i="17"/>
  <c r="M61" i="17" s="1"/>
  <c r="N61" i="17" s="1"/>
  <c r="K60" i="17"/>
  <c r="L60" i="17" s="1"/>
  <c r="K59" i="17"/>
  <c r="L59" i="17" s="1"/>
  <c r="K58" i="17"/>
  <c r="L58" i="17" s="1"/>
  <c r="K57" i="17"/>
  <c r="L57" i="17" s="1"/>
  <c r="K27" i="17"/>
  <c r="L27" i="17" s="1"/>
  <c r="K55" i="17"/>
  <c r="M55" i="17" s="1"/>
  <c r="N55" i="17" s="1"/>
  <c r="K12" i="17"/>
  <c r="L12" i="17" s="1"/>
  <c r="K11" i="17"/>
  <c r="M11" i="17" s="1"/>
  <c r="N11" i="17" s="1"/>
  <c r="K14" i="17"/>
  <c r="L14" i="17" s="1"/>
  <c r="K13" i="17"/>
  <c r="M13" i="17" s="1"/>
  <c r="N13" i="17" s="1"/>
  <c r="K52" i="17"/>
  <c r="L52" i="17" s="1"/>
  <c r="K26" i="17"/>
  <c r="M26" i="17" s="1"/>
  <c r="K25" i="17"/>
  <c r="L25" i="17" s="1"/>
  <c r="K83" i="17"/>
  <c r="M83" i="17" s="1"/>
  <c r="N83" i="17" s="1"/>
  <c r="K42" i="17"/>
  <c r="L42" i="17" s="1"/>
  <c r="K41" i="17"/>
  <c r="L41" i="17" s="1"/>
  <c r="K76" i="17"/>
  <c r="L76" i="17" s="1"/>
  <c r="K40" i="17"/>
  <c r="M40" i="17" s="1"/>
  <c r="K47" i="17"/>
  <c r="L47" i="17" s="1"/>
  <c r="K75" i="17"/>
  <c r="M75" i="17" s="1"/>
  <c r="K38" i="17"/>
  <c r="L38" i="17" s="1"/>
  <c r="K37" i="17"/>
  <c r="L37" i="17" s="1"/>
  <c r="K36" i="17"/>
  <c r="L36" i="17" s="1"/>
  <c r="K73" i="17"/>
  <c r="M73" i="17" s="1"/>
  <c r="N73" i="17" s="1"/>
  <c r="K72" i="17"/>
  <c r="L72" i="17" s="1"/>
  <c r="K24" i="17"/>
  <c r="M24" i="17" s="1"/>
  <c r="K23" i="17"/>
  <c r="L23" i="17" s="1"/>
  <c r="K22" i="17"/>
  <c r="M22" i="17" s="1"/>
  <c r="N22" i="17" s="1"/>
  <c r="K9" i="17"/>
  <c r="L9" i="17" s="1"/>
  <c r="K33" i="17"/>
  <c r="M33" i="17" s="1"/>
  <c r="N33" i="17" s="1"/>
  <c r="K10" i="17"/>
  <c r="L10" i="17" s="1"/>
  <c r="K66" i="17"/>
  <c r="L66" i="17" s="1"/>
  <c r="K8" i="17"/>
  <c r="L8" i="17" s="1"/>
  <c r="K7" i="17"/>
  <c r="M7" i="17" s="1"/>
  <c r="N7" i="17" s="1"/>
  <c r="K6" i="17"/>
  <c r="L6" i="17" s="1"/>
  <c r="K5" i="17"/>
  <c r="M5" i="17" s="1"/>
  <c r="K67" i="17"/>
  <c r="L67" i="17" s="1"/>
  <c r="K65" i="17"/>
  <c r="M65" i="17" s="1"/>
  <c r="K64" i="17"/>
  <c r="L64" i="17" s="1"/>
  <c r="K63" i="17"/>
  <c r="M63" i="17" s="1"/>
  <c r="N63" i="17" s="1"/>
  <c r="K15" i="17"/>
  <c r="L15" i="17" s="1"/>
  <c r="K17" i="17"/>
  <c r="M17" i="17" s="1"/>
  <c r="N17" i="17" s="1"/>
  <c r="K19" i="17"/>
  <c r="L19" i="17" s="1"/>
  <c r="K18" i="17"/>
  <c r="M18" i="17" s="1"/>
  <c r="N18" i="17" s="1"/>
  <c r="K39" i="17"/>
  <c r="L39" i="17" s="1"/>
  <c r="K43" i="17"/>
  <c r="M43" i="17" s="1"/>
  <c r="N43" i="17" s="1"/>
  <c r="K70" i="17"/>
  <c r="L70" i="17" s="1"/>
  <c r="K77" i="17"/>
  <c r="L77" i="17" s="1"/>
  <c r="K45" i="17"/>
  <c r="L45" i="17" s="1"/>
  <c r="K44" i="17"/>
  <c r="L44" i="17" s="1"/>
  <c r="K71" i="17"/>
  <c r="L71" i="17" s="1"/>
  <c r="K48" i="17"/>
  <c r="L48" i="17" s="1"/>
  <c r="K74" i="17"/>
  <c r="L74" i="17" s="1"/>
  <c r="K50" i="17"/>
  <c r="M50" i="17" s="1"/>
  <c r="N50" i="17" s="1"/>
  <c r="K49" i="17"/>
  <c r="L49" i="17" s="1"/>
  <c r="K51" i="17"/>
  <c r="M51" i="17" s="1"/>
  <c r="N51" i="17" s="1"/>
  <c r="K81" i="17"/>
  <c r="L81" i="17" s="1"/>
  <c r="K80" i="17"/>
  <c r="M80" i="17" s="1"/>
  <c r="K79" i="17"/>
  <c r="L79" i="17" s="1"/>
  <c r="K53" i="17"/>
  <c r="M53" i="17" s="1"/>
  <c r="N53" i="17" s="1"/>
  <c r="K78" i="17"/>
  <c r="L78" i="17" s="1"/>
  <c r="K56" i="17"/>
  <c r="M56" i="17" s="1"/>
  <c r="O18" i="17"/>
  <c r="O19" i="17"/>
  <c r="O84" i="17"/>
  <c r="O86" i="17"/>
  <c r="O87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106" i="17"/>
  <c r="O107" i="17"/>
  <c r="O108" i="17"/>
  <c r="O109" i="17"/>
  <c r="O110" i="17"/>
  <c r="O111" i="17"/>
  <c r="O112" i="17"/>
  <c r="O113" i="17"/>
  <c r="O114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R32" i="17" l="1"/>
  <c r="S32" i="17" s="1"/>
  <c r="T32" i="17"/>
  <c r="N69" i="17"/>
  <c r="Q69" i="17" s="1"/>
  <c r="T54" i="17"/>
  <c r="R54" i="17"/>
  <c r="S54" i="17" s="1"/>
  <c r="T68" i="17"/>
  <c r="R68" i="17"/>
  <c r="S68" i="17" s="1"/>
  <c r="Q33" i="17"/>
  <c r="T33" i="17" s="1"/>
  <c r="P119" i="17"/>
  <c r="P127" i="17"/>
  <c r="Q83" i="17"/>
  <c r="T83" i="17" s="1"/>
  <c r="P53" i="17"/>
  <c r="Q128" i="17"/>
  <c r="R128" i="17" s="1"/>
  <c r="S128" i="17" s="1"/>
  <c r="N21" i="17"/>
  <c r="P21" i="17" s="1"/>
  <c r="N65" i="17"/>
  <c r="Q65" i="17" s="1"/>
  <c r="Q7" i="17"/>
  <c r="R7" i="17" s="1"/>
  <c r="S7" i="17" s="1"/>
  <c r="Q28" i="17"/>
  <c r="T28" i="17" s="1"/>
  <c r="Q87" i="17"/>
  <c r="Q96" i="17"/>
  <c r="T96" i="17" s="1"/>
  <c r="Q104" i="17"/>
  <c r="R104" i="17" s="1"/>
  <c r="S104" i="17" s="1"/>
  <c r="Q112" i="17"/>
  <c r="Q121" i="17"/>
  <c r="R121" i="17" s="1"/>
  <c r="S121" i="17" s="1"/>
  <c r="Q129" i="17"/>
  <c r="T129" i="17" s="1"/>
  <c r="N24" i="17"/>
  <c r="Q24" i="17" s="1"/>
  <c r="N56" i="17"/>
  <c r="Q56" i="17" s="1"/>
  <c r="N84" i="17"/>
  <c r="P84" i="17" s="1"/>
  <c r="N92" i="17"/>
  <c r="P92" i="17" s="1"/>
  <c r="N100" i="17"/>
  <c r="P100" i="17" s="1"/>
  <c r="N124" i="17"/>
  <c r="P124" i="17" s="1"/>
  <c r="Q50" i="17"/>
  <c r="T50" i="17" s="1"/>
  <c r="P108" i="17"/>
  <c r="N5" i="17"/>
  <c r="P5" i="17" s="1"/>
  <c r="N75" i="17"/>
  <c r="P75" i="17" s="1"/>
  <c r="N117" i="17"/>
  <c r="Q117" i="17" s="1"/>
  <c r="N125" i="17"/>
  <c r="P125" i="17" s="1"/>
  <c r="N133" i="17"/>
  <c r="P133" i="17" s="1"/>
  <c r="Q132" i="17"/>
  <c r="T132" i="17" s="1"/>
  <c r="Q43" i="17"/>
  <c r="R43" i="17" s="1"/>
  <c r="S43" i="17" s="1"/>
  <c r="Q51" i="17"/>
  <c r="R51" i="17" s="1"/>
  <c r="S51" i="17" s="1"/>
  <c r="Q90" i="17"/>
  <c r="T90" i="17" s="1"/>
  <c r="Q98" i="17"/>
  <c r="R98" i="17" s="1"/>
  <c r="S98" i="17" s="1"/>
  <c r="Q106" i="17"/>
  <c r="Q114" i="17"/>
  <c r="R114" i="17" s="1"/>
  <c r="S114" i="17" s="1"/>
  <c r="Q123" i="17"/>
  <c r="R123" i="17" s="1"/>
  <c r="S123" i="17" s="1"/>
  <c r="Q131" i="17"/>
  <c r="R131" i="17" s="1"/>
  <c r="S131" i="17" s="1"/>
  <c r="N26" i="17"/>
  <c r="P26" i="17" s="1"/>
  <c r="N40" i="17"/>
  <c r="Q40" i="17" s="1"/>
  <c r="N80" i="17"/>
  <c r="Q80" i="17" s="1"/>
  <c r="N94" i="17"/>
  <c r="P94" i="17" s="1"/>
  <c r="N102" i="17"/>
  <c r="P102" i="17" s="1"/>
  <c r="N110" i="17"/>
  <c r="P110" i="17" s="1"/>
  <c r="N126" i="17"/>
  <c r="Q126" i="17" s="1"/>
  <c r="N134" i="17"/>
  <c r="Q134" i="17" s="1"/>
  <c r="P22" i="17"/>
  <c r="Q35" i="17"/>
  <c r="T35" i="17" s="1"/>
  <c r="Q55" i="17"/>
  <c r="T55" i="17" s="1"/>
  <c r="P18" i="17"/>
  <c r="P4" i="17"/>
  <c r="Q13" i="17"/>
  <c r="R13" i="17" s="1"/>
  <c r="S13" i="17" s="1"/>
  <c r="M16" i="17"/>
  <c r="N16" i="17" s="1"/>
  <c r="M62" i="17"/>
  <c r="N62" i="17" s="1"/>
  <c r="M115" i="17"/>
  <c r="M88" i="17"/>
  <c r="P85" i="17"/>
  <c r="Q85" i="17"/>
  <c r="Q20" i="17"/>
  <c r="P20" i="17"/>
  <c r="L20" i="17"/>
  <c r="L85" i="17"/>
  <c r="L21" i="17"/>
  <c r="M48" i="17"/>
  <c r="Q22" i="17"/>
  <c r="T22" i="17" s="1"/>
  <c r="P87" i="17"/>
  <c r="P96" i="17"/>
  <c r="P112" i="17"/>
  <c r="Q127" i="17"/>
  <c r="Q4" i="17"/>
  <c r="T4" i="17" s="1"/>
  <c r="P129" i="17"/>
  <c r="Q53" i="17"/>
  <c r="T53" i="17" s="1"/>
  <c r="Q119" i="17"/>
  <c r="T119" i="17" s="1"/>
  <c r="P132" i="17"/>
  <c r="P104" i="17"/>
  <c r="P121" i="17"/>
  <c r="Q108" i="17"/>
  <c r="Q17" i="17"/>
  <c r="P17" i="17"/>
  <c r="Q73" i="17"/>
  <c r="P73" i="17"/>
  <c r="P130" i="17"/>
  <c r="Q130" i="17"/>
  <c r="Q63" i="17"/>
  <c r="P63" i="17"/>
  <c r="Q61" i="17"/>
  <c r="P61" i="17"/>
  <c r="Q11" i="17"/>
  <c r="P11" i="17"/>
  <c r="Q30" i="17"/>
  <c r="P30" i="17"/>
  <c r="P7" i="17"/>
  <c r="P13" i="17"/>
  <c r="P28" i="17"/>
  <c r="P51" i="17"/>
  <c r="P90" i="17"/>
  <c r="P98" i="17"/>
  <c r="P106" i="17"/>
  <c r="P114" i="17"/>
  <c r="P123" i="17"/>
  <c r="P131" i="17"/>
  <c r="P128" i="17"/>
  <c r="P50" i="17"/>
  <c r="P43" i="17"/>
  <c r="P33" i="17"/>
  <c r="P83" i="17"/>
  <c r="P55" i="17"/>
  <c r="P35" i="17"/>
  <c r="M25" i="17"/>
  <c r="N25" i="17" s="1"/>
  <c r="M46" i="17"/>
  <c r="N46" i="17" s="1"/>
  <c r="M23" i="17"/>
  <c r="N23" i="17" s="1"/>
  <c r="M27" i="17"/>
  <c r="N27" i="17" s="1"/>
  <c r="M113" i="17"/>
  <c r="N113" i="17" s="1"/>
  <c r="M116" i="17"/>
  <c r="N116" i="17" s="1"/>
  <c r="M95" i="17"/>
  <c r="N95" i="17" s="1"/>
  <c r="M8" i="17"/>
  <c r="N8" i="17" s="1"/>
  <c r="L92" i="17"/>
  <c r="M105" i="17"/>
  <c r="N105" i="17" s="1"/>
  <c r="L55" i="17"/>
  <c r="M29" i="17"/>
  <c r="N29" i="17" s="1"/>
  <c r="L121" i="17"/>
  <c r="L73" i="17"/>
  <c r="M101" i="17"/>
  <c r="N101" i="17" s="1"/>
  <c r="M44" i="17"/>
  <c r="N44" i="17" s="1"/>
  <c r="M6" i="17"/>
  <c r="N6" i="17" s="1"/>
  <c r="L13" i="17"/>
  <c r="M37" i="17"/>
  <c r="N37" i="17" s="1"/>
  <c r="M42" i="17"/>
  <c r="N42" i="17" s="1"/>
  <c r="M57" i="17"/>
  <c r="N57" i="17" s="1"/>
  <c r="M45" i="17"/>
  <c r="N45" i="17" s="1"/>
  <c r="M31" i="17"/>
  <c r="N31" i="17" s="1"/>
  <c r="L96" i="17"/>
  <c r="L127" i="17"/>
  <c r="L80" i="17"/>
  <c r="M12" i="17"/>
  <c r="N12" i="17" s="1"/>
  <c r="M34" i="17"/>
  <c r="N34" i="17" s="1"/>
  <c r="L104" i="17"/>
  <c r="L7" i="17"/>
  <c r="M36" i="17"/>
  <c r="N36" i="17" s="1"/>
  <c r="M58" i="17"/>
  <c r="N58" i="17" s="1"/>
  <c r="M86" i="17"/>
  <c r="N86" i="17" s="1"/>
  <c r="M93" i="17"/>
  <c r="N93" i="17" s="1"/>
  <c r="L117" i="17"/>
  <c r="M71" i="17"/>
  <c r="N71" i="17" s="1"/>
  <c r="L65" i="17"/>
  <c r="M41" i="17"/>
  <c r="N41" i="17" s="1"/>
  <c r="M52" i="17"/>
  <c r="N52" i="17" s="1"/>
  <c r="M59" i="17"/>
  <c r="N59" i="17" s="1"/>
  <c r="L5" i="17"/>
  <c r="M66" i="17"/>
  <c r="N66" i="17" s="1"/>
  <c r="M60" i="17"/>
  <c r="N60" i="17" s="1"/>
  <c r="M107" i="17"/>
  <c r="N107" i="17" s="1"/>
  <c r="M120" i="17"/>
  <c r="N120" i="17" s="1"/>
  <c r="M64" i="17"/>
  <c r="N64" i="17" s="1"/>
  <c r="L75" i="17"/>
  <c r="M76" i="17"/>
  <c r="N76" i="17" s="1"/>
  <c r="L11" i="17"/>
  <c r="M3" i="17"/>
  <c r="N3" i="17" s="1"/>
  <c r="M91" i="17"/>
  <c r="N91" i="17" s="1"/>
  <c r="L100" i="17"/>
  <c r="M109" i="17"/>
  <c r="N109" i="17" s="1"/>
  <c r="L119" i="17"/>
  <c r="L123" i="17"/>
  <c r="L129" i="17"/>
  <c r="M49" i="17"/>
  <c r="N49" i="17" s="1"/>
  <c r="M77" i="17"/>
  <c r="N77" i="17" s="1"/>
  <c r="L17" i="17"/>
  <c r="M10" i="17"/>
  <c r="N10" i="17" s="1"/>
  <c r="L24" i="17"/>
  <c r="M47" i="17"/>
  <c r="N47" i="17" s="1"/>
  <c r="M2" i="17"/>
  <c r="N2" i="17" s="1"/>
  <c r="L87" i="17"/>
  <c r="M97" i="17"/>
  <c r="N97" i="17" s="1"/>
  <c r="M111" i="17"/>
  <c r="N111" i="17" s="1"/>
  <c r="L125" i="17"/>
  <c r="L131" i="17"/>
  <c r="L50" i="17"/>
  <c r="M70" i="17"/>
  <c r="N70" i="17" s="1"/>
  <c r="M67" i="17"/>
  <c r="N67" i="17" s="1"/>
  <c r="M72" i="17"/>
  <c r="N72" i="17" s="1"/>
  <c r="L40" i="17"/>
  <c r="L28" i="17"/>
  <c r="M89" i="17"/>
  <c r="N89" i="17" s="1"/>
  <c r="M103" i="17"/>
  <c r="N103" i="17" s="1"/>
  <c r="L112" i="17"/>
  <c r="L63" i="17"/>
  <c r="M9" i="17"/>
  <c r="N9" i="17" s="1"/>
  <c r="M38" i="17"/>
  <c r="N38" i="17" s="1"/>
  <c r="M14" i="17"/>
  <c r="N14" i="17" s="1"/>
  <c r="L35" i="17"/>
  <c r="M99" i="17"/>
  <c r="N99" i="17" s="1"/>
  <c r="L108" i="17"/>
  <c r="M118" i="17"/>
  <c r="N118" i="17" s="1"/>
  <c r="M122" i="17"/>
  <c r="N122" i="17" s="1"/>
  <c r="L53" i="17"/>
  <c r="M81" i="17"/>
  <c r="N81" i="17" s="1"/>
  <c r="L18" i="17"/>
  <c r="M15" i="17"/>
  <c r="N15" i="17" s="1"/>
  <c r="L22" i="17"/>
  <c r="L26" i="17"/>
  <c r="L51" i="17"/>
  <c r="L56" i="17"/>
  <c r="M79" i="17"/>
  <c r="N79" i="17" s="1"/>
  <c r="L43" i="17"/>
  <c r="M19" i="17"/>
  <c r="N19" i="17" s="1"/>
  <c r="L33" i="17"/>
  <c r="L83" i="17"/>
  <c r="M74" i="17"/>
  <c r="N74" i="17" s="1"/>
  <c r="L133" i="17"/>
  <c r="M78" i="17"/>
  <c r="N78" i="17" s="1"/>
  <c r="M39" i="17"/>
  <c r="N39" i="17" s="1"/>
  <c r="L61" i="17"/>
  <c r="L4" i="17"/>
  <c r="L30" i="17"/>
  <c r="L84" i="17"/>
  <c r="L90" i="17"/>
  <c r="L94" i="17"/>
  <c r="L98" i="17"/>
  <c r="L102" i="17"/>
  <c r="L106" i="17"/>
  <c r="L110" i="17"/>
  <c r="L114" i="17"/>
  <c r="L124" i="17"/>
  <c r="L126" i="17"/>
  <c r="L128" i="17"/>
  <c r="L130" i="17"/>
  <c r="L132" i="17"/>
  <c r="L134" i="17"/>
  <c r="F3" i="25"/>
  <c r="T112" i="17" l="1"/>
  <c r="T87" i="17"/>
  <c r="T127" i="17"/>
  <c r="T106" i="17"/>
  <c r="Q94" i="17"/>
  <c r="T94" i="17" s="1"/>
  <c r="R69" i="17"/>
  <c r="S69" i="17" s="1"/>
  <c r="T69" i="17"/>
  <c r="P69" i="17"/>
  <c r="T7" i="17"/>
  <c r="R90" i="17"/>
  <c r="S90" i="17" s="1"/>
  <c r="Q5" i="17"/>
  <c r="T5" i="17" s="1"/>
  <c r="R55" i="17"/>
  <c r="S55" i="17" s="1"/>
  <c r="P80" i="17"/>
  <c r="T131" i="17"/>
  <c r="R106" i="17"/>
  <c r="S106" i="17" s="1"/>
  <c r="R33" i="17"/>
  <c r="S33" i="17" s="1"/>
  <c r="Q124" i="17"/>
  <c r="T124" i="17" s="1"/>
  <c r="Q102" i="17"/>
  <c r="T102" i="17" s="1"/>
  <c r="Q84" i="17"/>
  <c r="T84" i="17" s="1"/>
  <c r="T13" i="17"/>
  <c r="T114" i="17"/>
  <c r="Q125" i="17"/>
  <c r="R125" i="17" s="1"/>
  <c r="S125" i="17" s="1"/>
  <c r="P65" i="17"/>
  <c r="R129" i="17"/>
  <c r="S129" i="17" s="1"/>
  <c r="T43" i="17"/>
  <c r="P40" i="17"/>
  <c r="R83" i="17"/>
  <c r="S83" i="17" s="1"/>
  <c r="T104" i="17"/>
  <c r="Q133" i="17"/>
  <c r="T133" i="17" s="1"/>
  <c r="T123" i="17"/>
  <c r="Q110" i="17"/>
  <c r="T110" i="17" s="1"/>
  <c r="P126" i="17"/>
  <c r="R35" i="17"/>
  <c r="S35" i="17" s="1"/>
  <c r="Q100" i="17"/>
  <c r="R100" i="17" s="1"/>
  <c r="S100" i="17" s="1"/>
  <c r="R50" i="17"/>
  <c r="S50" i="17" s="1"/>
  <c r="P134" i="17"/>
  <c r="R132" i="17"/>
  <c r="S132" i="17" s="1"/>
  <c r="T121" i="17"/>
  <c r="R112" i="17"/>
  <c r="S112" i="17" s="1"/>
  <c r="T128" i="17"/>
  <c r="T134" i="17"/>
  <c r="R134" i="17"/>
  <c r="S134" i="17" s="1"/>
  <c r="Q21" i="17"/>
  <c r="T21" i="17" s="1"/>
  <c r="Q75" i="17"/>
  <c r="T75" i="17" s="1"/>
  <c r="R28" i="17"/>
  <c r="S28" i="17" s="1"/>
  <c r="P56" i="17"/>
  <c r="T98" i="17"/>
  <c r="Q26" i="17"/>
  <c r="T26" i="17" s="1"/>
  <c r="T65" i="17"/>
  <c r="R65" i="17"/>
  <c r="S65" i="17" s="1"/>
  <c r="R56" i="17"/>
  <c r="S56" i="17" s="1"/>
  <c r="T56" i="17"/>
  <c r="R40" i="17"/>
  <c r="S40" i="17" s="1"/>
  <c r="T40" i="17"/>
  <c r="R80" i="17"/>
  <c r="S80" i="17" s="1"/>
  <c r="T80" i="17"/>
  <c r="R126" i="17"/>
  <c r="S126" i="17" s="1"/>
  <c r="T126" i="17"/>
  <c r="T24" i="17"/>
  <c r="R24" i="17"/>
  <c r="S24" i="17" s="1"/>
  <c r="P24" i="17"/>
  <c r="R96" i="17"/>
  <c r="S96" i="17" s="1"/>
  <c r="N115" i="17"/>
  <c r="Q115" i="17" s="1"/>
  <c r="N48" i="17"/>
  <c r="P48" i="17" s="1"/>
  <c r="T51" i="17"/>
  <c r="R87" i="17"/>
  <c r="S87" i="17" s="1"/>
  <c r="P117" i="17"/>
  <c r="Q92" i="17"/>
  <c r="N88" i="17"/>
  <c r="Q88" i="17" s="1"/>
  <c r="Q18" i="17"/>
  <c r="R18" i="17" s="1"/>
  <c r="S18" i="17" s="1"/>
  <c r="Q16" i="17"/>
  <c r="P16" i="17"/>
  <c r="Q62" i="17"/>
  <c r="F62" i="17"/>
  <c r="R53" i="17"/>
  <c r="S53" i="17" s="1"/>
  <c r="R20" i="17"/>
  <c r="S20" i="17" s="1"/>
  <c r="T20" i="17"/>
  <c r="T85" i="17"/>
  <c r="R85" i="17"/>
  <c r="S85" i="17" s="1"/>
  <c r="R4" i="17"/>
  <c r="S4" i="17" s="1"/>
  <c r="R127" i="17"/>
  <c r="S127" i="17" s="1"/>
  <c r="R22" i="17"/>
  <c r="S22" i="17" s="1"/>
  <c r="R119" i="17"/>
  <c r="S119" i="17" s="1"/>
  <c r="R108" i="17"/>
  <c r="S108" i="17" s="1"/>
  <c r="T108" i="17"/>
  <c r="R117" i="17"/>
  <c r="S117" i="17" s="1"/>
  <c r="T117" i="17"/>
  <c r="Q77" i="17"/>
  <c r="P77" i="17"/>
  <c r="Q19" i="17"/>
  <c r="P19" i="17"/>
  <c r="T130" i="17"/>
  <c r="R130" i="17"/>
  <c r="S130" i="17" s="1"/>
  <c r="P81" i="17"/>
  <c r="Q81" i="17"/>
  <c r="Q38" i="17"/>
  <c r="P38" i="17"/>
  <c r="P72" i="17"/>
  <c r="Q72" i="17"/>
  <c r="P76" i="17"/>
  <c r="Q76" i="17"/>
  <c r="Q59" i="17"/>
  <c r="P59" i="17"/>
  <c r="Q58" i="17"/>
  <c r="P58" i="17"/>
  <c r="Q44" i="17"/>
  <c r="P44" i="17"/>
  <c r="P8" i="17"/>
  <c r="Q8" i="17"/>
  <c r="R61" i="17"/>
  <c r="S61" i="17" s="1"/>
  <c r="T61" i="17"/>
  <c r="T17" i="17"/>
  <c r="R17" i="17"/>
  <c r="S17" i="17" s="1"/>
  <c r="Q3" i="17"/>
  <c r="P3" i="17"/>
  <c r="Q66" i="17"/>
  <c r="P66" i="17"/>
  <c r="R11" i="17"/>
  <c r="S11" i="17" s="1"/>
  <c r="T11" i="17"/>
  <c r="Q86" i="17"/>
  <c r="P86" i="17"/>
  <c r="Q79" i="17"/>
  <c r="P79" i="17"/>
  <c r="Q52" i="17"/>
  <c r="P52" i="17"/>
  <c r="Q95" i="17"/>
  <c r="P95" i="17"/>
  <c r="Q78" i="17"/>
  <c r="P78" i="17"/>
  <c r="Q70" i="17"/>
  <c r="P70" i="17"/>
  <c r="Q47" i="17"/>
  <c r="P47" i="17"/>
  <c r="Q64" i="17"/>
  <c r="P64" i="17"/>
  <c r="Q41" i="17"/>
  <c r="P41" i="17"/>
  <c r="P45" i="17"/>
  <c r="Q45" i="17"/>
  <c r="P116" i="17"/>
  <c r="Q116" i="17"/>
  <c r="R30" i="17"/>
  <c r="S30" i="17" s="1"/>
  <c r="T30" i="17"/>
  <c r="R63" i="17"/>
  <c r="S63" i="17" s="1"/>
  <c r="T63" i="17"/>
  <c r="R73" i="17"/>
  <c r="S73" i="17" s="1"/>
  <c r="T73" i="17"/>
  <c r="P46" i="17"/>
  <c r="Q46" i="17"/>
  <c r="P97" i="17"/>
  <c r="Q97" i="17"/>
  <c r="Q25" i="17"/>
  <c r="P25" i="17"/>
  <c r="Q67" i="17"/>
  <c r="P67" i="17"/>
  <c r="Q101" i="17"/>
  <c r="P101" i="17"/>
  <c r="P122" i="17"/>
  <c r="Q122" i="17"/>
  <c r="Q118" i="17"/>
  <c r="P118" i="17"/>
  <c r="Q109" i="17"/>
  <c r="P109" i="17"/>
  <c r="Q120" i="17"/>
  <c r="P120" i="17"/>
  <c r="P57" i="17"/>
  <c r="Q57" i="17"/>
  <c r="P113" i="17"/>
  <c r="Q113" i="17"/>
  <c r="Q111" i="17"/>
  <c r="P111" i="17"/>
  <c r="P14" i="17"/>
  <c r="Q14" i="17"/>
  <c r="Q6" i="17"/>
  <c r="P6" i="17"/>
  <c r="Q2" i="17"/>
  <c r="P2" i="17"/>
  <c r="Q31" i="17"/>
  <c r="P31" i="17"/>
  <c r="Q74" i="17"/>
  <c r="P74" i="17"/>
  <c r="Q103" i="17"/>
  <c r="P103" i="17"/>
  <c r="Q10" i="17"/>
  <c r="P10" i="17"/>
  <c r="P107" i="17"/>
  <c r="Q107" i="17"/>
  <c r="Q71" i="17"/>
  <c r="P71" i="17"/>
  <c r="Q34" i="17"/>
  <c r="P34" i="17"/>
  <c r="Q42" i="17"/>
  <c r="P42" i="17"/>
  <c r="P29" i="17"/>
  <c r="Q29" i="17"/>
  <c r="Q27" i="17"/>
  <c r="P27" i="17"/>
  <c r="P15" i="17"/>
  <c r="Q15" i="17"/>
  <c r="P105" i="17"/>
  <c r="Q105" i="17"/>
  <c r="Q49" i="17"/>
  <c r="P49" i="17"/>
  <c r="Q39" i="17"/>
  <c r="P39" i="17"/>
  <c r="Q9" i="17"/>
  <c r="P9" i="17"/>
  <c r="Q36" i="17"/>
  <c r="P36" i="17"/>
  <c r="P99" i="17"/>
  <c r="Q99" i="17"/>
  <c r="P89" i="17"/>
  <c r="Q89" i="17"/>
  <c r="P91" i="17"/>
  <c r="Q91" i="17"/>
  <c r="P60" i="17"/>
  <c r="Q60" i="17"/>
  <c r="Q12" i="17"/>
  <c r="P12" i="17"/>
  <c r="Q37" i="17"/>
  <c r="P37" i="17"/>
  <c r="Q23" i="17"/>
  <c r="P23" i="17"/>
  <c r="Q93" i="17"/>
  <c r="P93" i="17"/>
  <c r="L1" i="26"/>
  <c r="R94" i="17" l="1"/>
  <c r="S94" i="17" s="1"/>
  <c r="R5" i="17"/>
  <c r="S5" i="17" s="1"/>
  <c r="T125" i="17"/>
  <c r="R102" i="17"/>
  <c r="S102" i="17" s="1"/>
  <c r="T100" i="17"/>
  <c r="R75" i="17"/>
  <c r="S75" i="17" s="1"/>
  <c r="R124" i="17"/>
  <c r="S124" i="17" s="1"/>
  <c r="R84" i="17"/>
  <c r="S84" i="17" s="1"/>
  <c r="R110" i="17"/>
  <c r="S110" i="17" s="1"/>
  <c r="R26" i="17"/>
  <c r="S26" i="17" s="1"/>
  <c r="R21" i="17"/>
  <c r="S21" i="17" s="1"/>
  <c r="R133" i="17"/>
  <c r="S133" i="17" s="1"/>
  <c r="Q48" i="17"/>
  <c r="T48" i="17" s="1"/>
  <c r="R88" i="17"/>
  <c r="S88" i="17" s="1"/>
  <c r="T88" i="17"/>
  <c r="T115" i="17"/>
  <c r="R115" i="17"/>
  <c r="S115" i="17" s="1"/>
  <c r="T92" i="17"/>
  <c r="R92" i="17"/>
  <c r="S92" i="17" s="1"/>
  <c r="P88" i="17"/>
  <c r="P115" i="17"/>
  <c r="T18" i="17"/>
  <c r="T16" i="17"/>
  <c r="R16" i="17"/>
  <c r="S16" i="17" s="1"/>
  <c r="P62" i="17"/>
  <c r="T62" i="17"/>
  <c r="R62" i="17"/>
  <c r="S62" i="17" s="1"/>
  <c r="T60" i="17"/>
  <c r="R60" i="17"/>
  <c r="S60" i="17" s="1"/>
  <c r="T105" i="17"/>
  <c r="R105" i="17"/>
  <c r="S105" i="17" s="1"/>
  <c r="T93" i="17"/>
  <c r="R93" i="17"/>
  <c r="S93" i="17" s="1"/>
  <c r="R2" i="17"/>
  <c r="S2" i="17" s="1"/>
  <c r="T2" i="17"/>
  <c r="T118" i="17"/>
  <c r="R118" i="17"/>
  <c r="S118" i="17" s="1"/>
  <c r="T25" i="17"/>
  <c r="R25" i="17"/>
  <c r="S25" i="17" s="1"/>
  <c r="R41" i="17"/>
  <c r="S41" i="17" s="1"/>
  <c r="T41" i="17"/>
  <c r="T78" i="17"/>
  <c r="R78" i="17"/>
  <c r="S78" i="17" s="1"/>
  <c r="R86" i="17"/>
  <c r="S86" i="17" s="1"/>
  <c r="T86" i="17"/>
  <c r="R58" i="17"/>
  <c r="S58" i="17" s="1"/>
  <c r="T58" i="17"/>
  <c r="T38" i="17"/>
  <c r="R38" i="17"/>
  <c r="S38" i="17" s="1"/>
  <c r="R77" i="17"/>
  <c r="S77" i="17" s="1"/>
  <c r="T77" i="17"/>
  <c r="T91" i="17"/>
  <c r="R91" i="17"/>
  <c r="S91" i="17" s="1"/>
  <c r="T15" i="17"/>
  <c r="R15" i="17"/>
  <c r="S15" i="17" s="1"/>
  <c r="T57" i="17"/>
  <c r="R57" i="17"/>
  <c r="S57" i="17" s="1"/>
  <c r="R122" i="17"/>
  <c r="S122" i="17" s="1"/>
  <c r="T122" i="17"/>
  <c r="T97" i="17"/>
  <c r="R97" i="17"/>
  <c r="S97" i="17" s="1"/>
  <c r="T81" i="17"/>
  <c r="R81" i="17"/>
  <c r="S81" i="17" s="1"/>
  <c r="T10" i="17"/>
  <c r="R10" i="17"/>
  <c r="S10" i="17" s="1"/>
  <c r="T9" i="17"/>
  <c r="R9" i="17"/>
  <c r="S9" i="17" s="1"/>
  <c r="R6" i="17"/>
  <c r="S6" i="17" s="1"/>
  <c r="T6" i="17"/>
  <c r="T14" i="17"/>
  <c r="R14" i="17"/>
  <c r="S14" i="17" s="1"/>
  <c r="T46" i="17"/>
  <c r="R46" i="17"/>
  <c r="S46" i="17" s="1"/>
  <c r="T116" i="17"/>
  <c r="R116" i="17"/>
  <c r="S116" i="17" s="1"/>
  <c r="T8" i="17"/>
  <c r="R8" i="17"/>
  <c r="S8" i="17" s="1"/>
  <c r="T76" i="17"/>
  <c r="R76" i="17"/>
  <c r="S76" i="17" s="1"/>
  <c r="T36" i="17"/>
  <c r="R36" i="17"/>
  <c r="S36" i="17" s="1"/>
  <c r="R23" i="17"/>
  <c r="S23" i="17" s="1"/>
  <c r="T23" i="17"/>
  <c r="R103" i="17"/>
  <c r="S103" i="17" s="1"/>
  <c r="T103" i="17"/>
  <c r="T59" i="17"/>
  <c r="R59" i="17"/>
  <c r="S59" i="17" s="1"/>
  <c r="T37" i="17"/>
  <c r="R37" i="17"/>
  <c r="S37" i="17" s="1"/>
  <c r="T39" i="17"/>
  <c r="R39" i="17"/>
  <c r="S39" i="17" s="1"/>
  <c r="T27" i="17"/>
  <c r="R27" i="17"/>
  <c r="S27" i="17" s="1"/>
  <c r="R71" i="17"/>
  <c r="S71" i="17" s="1"/>
  <c r="T71" i="17"/>
  <c r="T74" i="17"/>
  <c r="R74" i="17"/>
  <c r="S74" i="17" s="1"/>
  <c r="R120" i="17"/>
  <c r="S120" i="17" s="1"/>
  <c r="T120" i="17"/>
  <c r="T101" i="17"/>
  <c r="R101" i="17"/>
  <c r="S101" i="17" s="1"/>
  <c r="R47" i="17"/>
  <c r="S47" i="17" s="1"/>
  <c r="T47" i="17"/>
  <c r="R52" i="17"/>
  <c r="S52" i="17" s="1"/>
  <c r="T52" i="17"/>
  <c r="R66" i="17"/>
  <c r="S66" i="17" s="1"/>
  <c r="T66" i="17"/>
  <c r="T113" i="17"/>
  <c r="R113" i="17"/>
  <c r="S113" i="17" s="1"/>
  <c r="T42" i="17"/>
  <c r="R42" i="17"/>
  <c r="S42" i="17" s="1"/>
  <c r="T64" i="17"/>
  <c r="R64" i="17"/>
  <c r="S64" i="17" s="1"/>
  <c r="R89" i="17"/>
  <c r="S89" i="17" s="1"/>
  <c r="T89" i="17"/>
  <c r="T99" i="17"/>
  <c r="R99" i="17"/>
  <c r="S99" i="17" s="1"/>
  <c r="T29" i="17"/>
  <c r="R29" i="17"/>
  <c r="S29" i="17" s="1"/>
  <c r="T107" i="17"/>
  <c r="R107" i="17"/>
  <c r="S107" i="17" s="1"/>
  <c r="T45" i="17"/>
  <c r="R45" i="17"/>
  <c r="S45" i="17" s="1"/>
  <c r="T72" i="17"/>
  <c r="R72" i="17"/>
  <c r="S72" i="17" s="1"/>
  <c r="T34" i="17"/>
  <c r="R34" i="17"/>
  <c r="S34" i="17" s="1"/>
  <c r="R95" i="17"/>
  <c r="S95" i="17" s="1"/>
  <c r="T95" i="17"/>
  <c r="T12" i="17"/>
  <c r="R12" i="17"/>
  <c r="S12" i="17" s="1"/>
  <c r="T49" i="17"/>
  <c r="R49" i="17"/>
  <c r="S49" i="17" s="1"/>
  <c r="T31" i="17"/>
  <c r="R31" i="17"/>
  <c r="S31" i="17" s="1"/>
  <c r="R111" i="17"/>
  <c r="S111" i="17" s="1"/>
  <c r="T111" i="17"/>
  <c r="T109" i="17"/>
  <c r="R109" i="17"/>
  <c r="S109" i="17" s="1"/>
  <c r="T67" i="17"/>
  <c r="R67" i="17"/>
  <c r="S67" i="17" s="1"/>
  <c r="T70" i="17"/>
  <c r="R70" i="17"/>
  <c r="S70" i="17" s="1"/>
  <c r="R79" i="17"/>
  <c r="S79" i="17" s="1"/>
  <c r="T79" i="17"/>
  <c r="T3" i="17"/>
  <c r="R3" i="17"/>
  <c r="S3" i="17" s="1"/>
  <c r="T44" i="17"/>
  <c r="R44" i="17"/>
  <c r="S44" i="17" s="1"/>
  <c r="R19" i="17"/>
  <c r="S19" i="17" s="1"/>
  <c r="T19" i="17"/>
  <c r="F8" i="25"/>
  <c r="F7" i="25"/>
  <c r="F6" i="25"/>
  <c r="F5" i="25"/>
  <c r="F4" i="25"/>
  <c r="R48" i="17" l="1"/>
  <c r="S48" i="17" s="1"/>
  <c r="K82" i="17"/>
  <c r="M82" i="17" s="1"/>
  <c r="N82" i="17" s="1"/>
  <c r="Y1" i="17"/>
  <c r="L82" i="17" l="1"/>
  <c r="P82" i="17" l="1"/>
  <c r="Q82" i="17"/>
  <c r="R82" i="17" l="1"/>
  <c r="S82" i="17" s="1"/>
  <c r="T82" i="17"/>
  <c r="V1" i="17" l="1"/>
  <c r="U1" i="17"/>
</calcChain>
</file>

<file path=xl/sharedStrings.xml><?xml version="1.0" encoding="utf-8"?>
<sst xmlns="http://schemas.openxmlformats.org/spreadsheetml/2006/main" count="4556" uniqueCount="1266">
  <si>
    <t>Objetivos</t>
  </si>
  <si>
    <t>eMail</t>
  </si>
  <si>
    <t>Optimizar a corto plazo las funcionalidades de la tecnologia asociada al negocio</t>
  </si>
  <si>
    <t>Optimizar los costos asociados a la ejecucion de las funciones del departamento de IT</t>
  </si>
  <si>
    <t>Solventar la demanda actual y futura de la corporación (Aseguramiento de la funcionalidad de la infraestructura existente)</t>
  </si>
  <si>
    <r>
      <rPr>
        <b/>
        <sz val="11"/>
        <color theme="1"/>
        <rFont val="Calibri"/>
        <family val="2"/>
        <scheme val="minor"/>
      </rPr>
      <t>Responsabilidades del departamento de IT :</t>
    </r>
    <r>
      <rPr>
        <sz val="11"/>
        <color theme="1"/>
        <rFont val="Calibri"/>
        <family val="2"/>
        <scheme val="minor"/>
      </rPr>
      <t xml:space="preserve"> Analizar, diseñar, desarrollar, controlar los sistemas infomáticos(SW, HW, servicios).</t>
    </r>
  </si>
  <si>
    <t>Premisas</t>
  </si>
  <si>
    <t>Goal del proyecto: a)Lograr la meta, b)Hacerlo en tiempo, c)Con los recursos indispensables</t>
  </si>
  <si>
    <t>Mejorar los niveles de servicios del area de IT</t>
  </si>
  <si>
    <t>Tiempo</t>
  </si>
  <si>
    <t>Hagamos que la Politica de IT se cumpla</t>
  </si>
  <si>
    <t>Framework U-Storage: ESG(enviroment social governance)</t>
  </si>
  <si>
    <t>Auto almacenaje de eventos de vida: Resguardo y almacenaje de objetos.</t>
  </si>
  <si>
    <t>Filosofia</t>
  </si>
  <si>
    <t>TELMEX</t>
  </si>
  <si>
    <t>TotalPlay</t>
  </si>
  <si>
    <t>Paquete Telmex Negocio sin Límites 1</t>
  </si>
  <si>
    <t>Dominio</t>
  </si>
  <si>
    <t>minibodegas.mx</t>
  </si>
  <si>
    <t>minibodegas.mx | NS | ns1.akkyservicios.mx | 201.131.249.1</t>
  </si>
  <si>
    <t>minibodegas.mx | NS | ns2.akkyservicios.mx | 207.248.64.1</t>
  </si>
  <si>
    <t>minibodegas.mx | NS | ns3.akkyservicios.mx | 201.131.251.1</t>
  </si>
  <si>
    <t>Akky</t>
  </si>
  <si>
    <t>ustorage.mx</t>
  </si>
  <si>
    <t>ustorage.mx | NS | ns1.akkyservicios.mx | 201.131.249.1</t>
  </si>
  <si>
    <t>ustorage.mx | NS | ns2.akkyservicios.mx | 207.248.64.1</t>
  </si>
  <si>
    <t>ustorage.mx | NS | ns3.akkyservicios.mx | 201.131.251.1</t>
  </si>
  <si>
    <t>u-storage.com.mx</t>
  </si>
  <si>
    <t>u-storage.com.mx | NS | dns1.triara.com | 200.57.128.34</t>
  </si>
  <si>
    <t>u-storage.com.mx | NS | dns3.triara.com | 200.57.177.65</t>
  </si>
  <si>
    <t>u-storage.com.mx | NS | dns2.triara.com | 200.57.128.36</t>
  </si>
  <si>
    <t>Telmex</t>
  </si>
  <si>
    <t>u-storage.mx</t>
  </si>
  <si>
    <t>u-storage.mx | NS | ns1.akkyservicios.mx | 201.131.249.1</t>
  </si>
  <si>
    <t>u-storage.mx | NS | ns2.akkyservicios.mx | 207.248.64.1</t>
  </si>
  <si>
    <t>u-storage.mx | NS | ns3.akkyservicios.mx | 201.131.251.1</t>
  </si>
  <si>
    <t>u-storagemudanzas.com.mx</t>
  </si>
  <si>
    <t>u-storagemudanzas.com.mx | NS | ns2.akkyservicios.mx | 207.248.64.1</t>
  </si>
  <si>
    <t>u-storagemudanzas.com.mx | NS | ns1.akkyservicios.mx | 201.131.249.1</t>
  </si>
  <si>
    <t>u-storagemudanzas.com.mx | NS | ns3.akkyservicios.mx | 201.131.251.1</t>
  </si>
  <si>
    <t>u-storagemudanzas.mx</t>
  </si>
  <si>
    <t>u-storagemudanzas.mx | NS | ns3.akkyservicios.mx | 201.131.251.1</t>
  </si>
  <si>
    <t>u-storagemudanzas.mx | NS | ns1.akkyservicios.mx | 201.131.249.1</t>
  </si>
  <si>
    <t>u-storagemudanzas.mx | NS | ns2.akkyservicios.mx | 207.248.64.1</t>
  </si>
  <si>
    <t>selfstoragedevelopment.com.mx</t>
  </si>
  <si>
    <t>selfstoragedevelopment.com.mx | NS | dns3.triara.com | 200.57.177.65</t>
  </si>
  <si>
    <t>selfstoragedevelopment.com.mx | NS | dns1.triara.com | 200.57.128.34</t>
  </si>
  <si>
    <t>selfstoragedevelopment.com.mx | NS | dns2.triara.com | 200.57.128.36</t>
  </si>
  <si>
    <t>dossoles.com.mx</t>
  </si>
  <si>
    <t>dossoles.com.mx | NS | dns2.triara.com | 200.57.128.36</t>
  </si>
  <si>
    <t>dossoles.com.mx | NS | dns1.triara.com | 200.57.128.34</t>
  </si>
  <si>
    <t>dossoles.com.mx | NS | dns3.triara.com | 200.57.177.65</t>
  </si>
  <si>
    <t>gip.com.mx</t>
  </si>
  <si>
    <t>gip.com.mx | NS | dns1.triara.com | 200.57.128.34</t>
  </si>
  <si>
    <t>gip.com.mx | NS | dns2.triara.com | 200.57.128.36</t>
  </si>
  <si>
    <t>gip.com.mx | NS | dns3.triara.com | 200.57.177.65</t>
  </si>
  <si>
    <t>almacenatodo.com.mx</t>
  </si>
  <si>
    <t>almacenatodo.com.mx | NS | cloud3.triara.com | 200.57.128.148</t>
  </si>
  <si>
    <t>almacenatodo.com.mx | NS | cloud2.triara.com | 200.57.185.72</t>
  </si>
  <si>
    <t>almacenatodo.com.mx | NS | cloud1.triara.com | 187.191.92.16</t>
  </si>
  <si>
    <t>minibodega.com.mx</t>
  </si>
  <si>
    <t>minibodega.com.mx | NS | cloud1.triara.com | 187.191.92.16</t>
  </si>
  <si>
    <t>minibodega.com.mx | NS | cloud2.triara.com | 200.57.185.72</t>
  </si>
  <si>
    <t>minibodega.com.mx | NS | cloud3.triara.com | 200.57.128.148</t>
  </si>
  <si>
    <t>mini-bodega.com.mx</t>
  </si>
  <si>
    <t>mini-bodega.com.mx | NS | cloud1.triara.com | 187.191.92.16</t>
  </si>
  <si>
    <t>mini-bodega.com.mx | NS | cloud2.triara.com | 200.57.185.72</t>
  </si>
  <si>
    <t>mini-bodega.com.mx | NS | cloud3.triara.com | 200.57.128.148</t>
  </si>
  <si>
    <t>rentadebodegas.com.mx</t>
  </si>
  <si>
    <t>rentadebodegas.com.mx | NS | cloud3.triara.com | 200.57.128.148</t>
  </si>
  <si>
    <t>rentadebodegas.com.mx | NS | cloud1.triara.com | 187.191.92.16</t>
  </si>
  <si>
    <t>rentadebodegas.com.mx | NS | cloud2.triara.com | 200.57.185.72</t>
  </si>
  <si>
    <t>Tucows Domain Inc</t>
  </si>
  <si>
    <t>rentaminibodegas.com.mx</t>
  </si>
  <si>
    <t>rentaminibodegas.com.mx | NS | cloud1.triara.com | 187.191.92.16</t>
  </si>
  <si>
    <t>rentaminibodegas.com.mx | NS | cloud2.triara.com | 200.57.185.72</t>
  </si>
  <si>
    <t>rentaminibodegas.com.mx | NS | cloud3.triara.com | 200.57.128.148</t>
  </si>
  <si>
    <t>self-storage.com.mx</t>
  </si>
  <si>
    <t>self-storage.com.mx | NS | cloud1.triara.com | 187.191.92.16</t>
  </si>
  <si>
    <t>self-storage.com.mx | NS | cloud3.triara.com | 200.57.128.148</t>
  </si>
  <si>
    <t>self-storage.com.mx | NS | cloud2.triara.com | 200.57.185.72</t>
  </si>
  <si>
    <t>todocabe.com.mx</t>
  </si>
  <si>
    <t>todocabe.com.mx | NS | cloud3.triara.com | 200.57.128.148</t>
  </si>
  <si>
    <t>todocabe.com.mx | NS | cloud1.triara.com | 187.191.92.16</t>
  </si>
  <si>
    <t>todocabe.com.mx | NS | cloud2.triara.com | 200.57.185.72</t>
  </si>
  <si>
    <t>ustorage.com.mx</t>
  </si>
  <si>
    <t>ustorage.com.mx | NS | cloud2.triara.com | 200.57.185.72</t>
  </si>
  <si>
    <t>ustorage.com.mx | NS | cloud3.triara.com | 200.57.128.148</t>
  </si>
  <si>
    <t>ustorage.com.mx | NS | cloud1.triara.com | 187.191.92.16</t>
  </si>
  <si>
    <t>almacenatodo.com</t>
  </si>
  <si>
    <t>almacenatodo.com | NS | cloud1.triara.com | 187.191.92.16</t>
  </si>
  <si>
    <t>almacenatodo.com | NS | cloud2.triara.com | 200.57.185.72</t>
  </si>
  <si>
    <t>almacenatodo.com | NS | cloud3.triara.com | 200.57.128.148</t>
  </si>
  <si>
    <t>Tucows Domains Inc</t>
  </si>
  <si>
    <t>mini-bodega.com</t>
  </si>
  <si>
    <t>mini-bodega.com | NS | cloud1.triara.com | 187.191.92.16</t>
  </si>
  <si>
    <t>mini-bodega.com | NS | cloud2.triara.com | 200.57.185.72</t>
  </si>
  <si>
    <t>mini-bodega.com | NS | cloud3.triara.com | 200.57.128.148</t>
  </si>
  <si>
    <t>Tucows Domains Inc.</t>
  </si>
  <si>
    <t>rentadebodega.com</t>
  </si>
  <si>
    <t>rentadebodega.com | NS | cloud1.triara.com | 187.191.92.16</t>
  </si>
  <si>
    <t>rentadebodega.com | NS | cloud2.triara.com | 200.57.185.72</t>
  </si>
  <si>
    <t>rentadebodega.com | NS | cloud3.triara.com | 200.57.128.148</t>
  </si>
  <si>
    <t>rentaminibodegas.com</t>
  </si>
  <si>
    <t>rentaminibodegas.com | NS | cloud1.triara.com | 187.191.92.16</t>
  </si>
  <si>
    <t>rentaminibodegas.com | NS | cloud2.triara.com | 200.57.185.72</t>
  </si>
  <si>
    <t>rentaminibodegas.com | NS | cloud3.triara.com | 200.57.128.148</t>
  </si>
  <si>
    <t>bodeguitas.net</t>
  </si>
  <si>
    <t>bodeguitas.net | NS | ns1.akkyservicios.mx | 201.131.249.1</t>
  </si>
  <si>
    <t>bodeguitas.net | NS | ns2.akkyservicios.mx | 207.248.64.1</t>
  </si>
  <si>
    <t>bodeguitas.net | NS | ns3.akkyservicios.mx | 201.131.251.1</t>
  </si>
  <si>
    <t>fibrastorage.net</t>
  </si>
  <si>
    <t>fibrastorage.org.mx</t>
  </si>
  <si>
    <t>facturacion-u-storage.com</t>
  </si>
  <si>
    <t>facturacion-u-storage.com.mx</t>
  </si>
  <si>
    <t>facturacion-u-storage.com.mx | NS | ns1-08.azure-dns.com | 40.90.4.8</t>
  </si>
  <si>
    <t>facturacion-u-storage.com.mx | NS | ns2-08.azure-dns.net | 64.4.48.8</t>
  </si>
  <si>
    <t>facturacion-u-storage.com.mx | NS | ns3-08.azure-dns.org | 13.107.24.8</t>
  </si>
  <si>
    <t>facturacion-guardabox.com</t>
  </si>
  <si>
    <t>facturacion-guardabox.com | NS | ns1.akkyservicios.mx | 201.131.249.1</t>
  </si>
  <si>
    <t>facturacion-guardabox.com | NS | ns2.akkyservicios.mx | 207.248.64.1</t>
  </si>
  <si>
    <t>facturacion-guardabox.com | NS | ns3.akkyservicios.mx | 201.131.251.1</t>
  </si>
  <si>
    <t>latrainera.mx</t>
  </si>
  <si>
    <t>latrainera.mx | NS | ns1.akkyservicios.mx | 201.131.249.1</t>
  </si>
  <si>
    <t>latrainera.mx | NS | ns2.akkyservicios.mx | 207.248.64.1</t>
  </si>
  <si>
    <t>latrainera.mx | NS | ns3.akkyservicios.mx | 201.131.251.1</t>
  </si>
  <si>
    <t>bodegas.mx</t>
  </si>
  <si>
    <t>bodegas.mx | NS | ns2.akkyservicios.mx | 207.248.64.1</t>
  </si>
  <si>
    <t>bodegas.mx | NS | ns1.akkyservicios.mx | 201.131.249.1</t>
  </si>
  <si>
    <t>bodegas.mx | NS | ns3.akkyservicios.mx | 201.131.251.1</t>
  </si>
  <si>
    <t>fibrastorage.com</t>
  </si>
  <si>
    <t>fibrastorage.com | NS | ns1a.nube.ninja | 72.29.91.138</t>
  </si>
  <si>
    <t>fibrastorage.com | NS | ns1b.nube.ninja | 72.29.91.139</t>
  </si>
  <si>
    <t>fibrastorage.com.mx</t>
  </si>
  <si>
    <t>fibrastorage.com.mx | NS | ns1a.nube.ninja | 72.29.91.138</t>
  </si>
  <si>
    <t>fibrastorage.com.mx | NS | ns1b.nube.ninja | 72.29.91.139</t>
  </si>
  <si>
    <t>fibrastorage.mx</t>
  </si>
  <si>
    <t>fibrastorage.mx | NS | ns1b.nube.ninja | 72.29.91.139</t>
  </si>
  <si>
    <t>fibrastorage.mx | NS | ns1a.nube.ninja | 72.29.91.138</t>
  </si>
  <si>
    <t>minibodegas.lat</t>
  </si>
  <si>
    <t>minibodegas.lat | NS | ns3.akkyservicios.mx | 201.131.251.1</t>
  </si>
  <si>
    <t>minibodegas.lat | NS | ns1.akkyservicios.mx | 201.131.249.1</t>
  </si>
  <si>
    <t>minibodegas.lat | NS | ns2.akkyservicios.mx | 207.248.64.1</t>
  </si>
  <si>
    <t>fibraustorage.com</t>
  </si>
  <si>
    <t>fibraustorage.com | NS | ns1a.nube.ninja | 72.29.91.138</t>
  </si>
  <si>
    <t>fibraustorage.com | NS | ns1b.nube.ninja | 72.29.91.139</t>
  </si>
  <si>
    <t>fibrau-storage.com</t>
  </si>
  <si>
    <t>fibrau-storage.com | NS | ns1a.nube.ninja | 72.29.91.138</t>
  </si>
  <si>
    <t>fibrau-storage.com | NS | ns1b.nube.ninja | 72.29.91.139</t>
  </si>
  <si>
    <t>fibraustorage.com.mx</t>
  </si>
  <si>
    <t>fibraustorage.com.mx | NS | ns1a.nube.ninja | 72.29.91.138</t>
  </si>
  <si>
    <t>fibraustorage.com.mx | NS | ns1b.nube.ninja | 72.29.91.139</t>
  </si>
  <si>
    <t>fibrau-storage.com.mx</t>
  </si>
  <si>
    <t>fibrau-storage.com.mx | NS | ns1b.nube.ninja | 72.29.91.139</t>
  </si>
  <si>
    <t>fibrau-storage.com.mx | NS | ns1a.nube.ninja | 72.29.91.138</t>
  </si>
  <si>
    <t>fibraustorage.mx</t>
  </si>
  <si>
    <t>fibraustorage.mx | NS | ns1b.nube.ninja | 72.29.91.139</t>
  </si>
  <si>
    <t>fibraustorage.mx | NS | ns1a.nube.ninja | 72.29.91.138</t>
  </si>
  <si>
    <t>fibrau-storage.mx</t>
  </si>
  <si>
    <t>fibrau-storage.mx | NS | ns1a.nube.ninja | 72.29.91.138</t>
  </si>
  <si>
    <t>fibrau-storage.mx | NS | ns1b.nube.ninja | 72.29.91.139</t>
  </si>
  <si>
    <t>rentadelockers.com</t>
  </si>
  <si>
    <t>rentadelockers.com | NS | ns1.akkyservicios.mx | 201.131.249.1</t>
  </si>
  <si>
    <t>rentadelockers.com | NS | ns2.akkyservicios.mx | 207.248.64.1</t>
  </si>
  <si>
    <t>rentadelockers.com | NS | ns3.akkyservicios.mx | 201.131.251.1</t>
  </si>
  <si>
    <t>rentadelockers.com.mx</t>
  </si>
  <si>
    <t>rentadelockers.com.mx | NS | ns1.akkyservicios.mx | 201.131.249.1</t>
  </si>
  <si>
    <t>rentadelockers.com.mx | NS | ns2.akkyservicios.mx | 207.248.64.1</t>
  </si>
  <si>
    <t>rentadelockers.com.mx | NS | ns3.akkyservicios.mx | 201.131.251.1</t>
  </si>
  <si>
    <t>rentadelockers.mx</t>
  </si>
  <si>
    <t>rentadelockers.mx | NS | ns1.akkyservicios.mx | 201.131.249.1</t>
  </si>
  <si>
    <t>rentadelockers.mx | NS | ns2.akkyservicios.mx | 207.248.64.1</t>
  </si>
  <si>
    <t>rentadelockers.mx | NS | ns3.akkyservicios.mx | 201.131.251.1</t>
  </si>
  <si>
    <t>minibodegas.net</t>
  </si>
  <si>
    <t>minibodegas.net | NS | ns1.akkyservicios.mx | 201.131.249.1</t>
  </si>
  <si>
    <t>minibodegas.net | NS | ns2.akkyservicios.mx | 207.248.64.1</t>
  </si>
  <si>
    <t>minibodegas.net | NS | ns3.akkyservicios.mx | 201.131.251.1</t>
  </si>
  <si>
    <t>bodegas.com</t>
  </si>
  <si>
    <t>bodegas.com | NS | ns1a.nube.ninja | 72.29.91.138</t>
  </si>
  <si>
    <t>bodegas.com | NS | ns1b.nube.ninja | 72.29.91.139</t>
  </si>
  <si>
    <t>uniregistry</t>
  </si>
  <si>
    <t>guardabox.com</t>
  </si>
  <si>
    <t>guardabox.com | NS | ns25.domaincontrol.com | 97.74.102.13</t>
  </si>
  <si>
    <t>guardabox.com | NS | ns26.domaincontrol.com | 173.201.70.13</t>
  </si>
  <si>
    <t>Acapulco</t>
  </si>
  <si>
    <t>Centros de Renta</t>
  </si>
  <si>
    <t>Paquete supernegocio</t>
  </si>
  <si>
    <t>Alameda</t>
  </si>
  <si>
    <t>LCA Operadora</t>
  </si>
  <si>
    <t>Anzures</t>
  </si>
  <si>
    <t>Fideicomiso 2981</t>
  </si>
  <si>
    <t>0200132395</t>
  </si>
  <si>
    <t>PLAN Profesional - Promo</t>
  </si>
  <si>
    <t>Churubusco</t>
  </si>
  <si>
    <t>Central de Abastos</t>
  </si>
  <si>
    <t>Paquete mi negocio</t>
  </si>
  <si>
    <t>Alestra</t>
  </si>
  <si>
    <t>Alestra Acceso Internet 81112100</t>
  </si>
  <si>
    <t>Cuajimalpa</t>
  </si>
  <si>
    <t>0200100262</t>
  </si>
  <si>
    <t>Internet 200 D</t>
  </si>
  <si>
    <t>Del Valle</t>
  </si>
  <si>
    <t>0200104755</t>
  </si>
  <si>
    <t>Superinternet Plus 200 V2</t>
  </si>
  <si>
    <t>Emprendedor</t>
  </si>
  <si>
    <t>Paquete conectes negocio</t>
  </si>
  <si>
    <t>Gustavo Baz</t>
  </si>
  <si>
    <t>u-St Gustavo Baz</t>
  </si>
  <si>
    <t>0200090624</t>
  </si>
  <si>
    <t>Plan ejecutivo</t>
  </si>
  <si>
    <t>Iman</t>
  </si>
  <si>
    <t>Internet 200 con Voz 2 Líneas</t>
  </si>
  <si>
    <t>Interlomas</t>
  </si>
  <si>
    <t>0200470023</t>
  </si>
  <si>
    <t>Lerma</t>
  </si>
  <si>
    <t>0200424810</t>
  </si>
  <si>
    <t>Internet Simetrico 30 Mbps MICROONDAS PMP TE</t>
  </si>
  <si>
    <t>Lindavista</t>
  </si>
  <si>
    <t>0200117225</t>
  </si>
  <si>
    <t>Superinternet Plus 200 V3</t>
  </si>
  <si>
    <t>Mexico Tacuba</t>
  </si>
  <si>
    <t>Parques Polanco</t>
  </si>
  <si>
    <t>u-St Polanco</t>
  </si>
  <si>
    <t>Paseo Interlomas</t>
  </si>
  <si>
    <t>0200437141</t>
  </si>
  <si>
    <t>Internet 200 D V3</t>
  </si>
  <si>
    <t>Polanco</t>
  </si>
  <si>
    <t>IZZI</t>
  </si>
  <si>
    <t>X-Tremo 200 MBPS - Ilimitado</t>
  </si>
  <si>
    <t>Puebla</t>
  </si>
  <si>
    <t>u-St Puebla</t>
  </si>
  <si>
    <t>Queretaro</t>
  </si>
  <si>
    <t>Revolucion</t>
  </si>
  <si>
    <t>Roma</t>
  </si>
  <si>
    <t>0200096745</t>
  </si>
  <si>
    <t>San Antonio</t>
  </si>
  <si>
    <t>0200128393</t>
  </si>
  <si>
    <t>Superinternet Plus 200 D</t>
  </si>
  <si>
    <t>Santa Fe</t>
  </si>
  <si>
    <t>Tepeyac</t>
  </si>
  <si>
    <t>0200150047</t>
  </si>
  <si>
    <t>Tlalpan 949</t>
  </si>
  <si>
    <t>0200262970</t>
  </si>
  <si>
    <t>Tlalpan Coapa</t>
  </si>
  <si>
    <t>0200109687</t>
  </si>
  <si>
    <t>Toreo</t>
  </si>
  <si>
    <t>Opebodegas</t>
  </si>
  <si>
    <t>0200117240</t>
  </si>
  <si>
    <t>Universidad</t>
  </si>
  <si>
    <t>Infinitum negocio</t>
  </si>
  <si>
    <t>Ustorage Corporativo</t>
  </si>
  <si>
    <t>Self Storage</t>
  </si>
  <si>
    <t>Vasco</t>
  </si>
  <si>
    <t>Viaducto</t>
  </si>
  <si>
    <t>u-St Viaducto</t>
  </si>
  <si>
    <t>1Acapulco</t>
  </si>
  <si>
    <t>1Alameda</t>
  </si>
  <si>
    <t>1Anzures</t>
  </si>
  <si>
    <t>1Churubusco</t>
  </si>
  <si>
    <t>2Churubusco</t>
  </si>
  <si>
    <t>1Cuajimalpa</t>
  </si>
  <si>
    <t>2Cuajimalpa</t>
  </si>
  <si>
    <t>1Del Valle</t>
  </si>
  <si>
    <t>2Del Valle</t>
  </si>
  <si>
    <t>1Gustavo Baz</t>
  </si>
  <si>
    <t>2Gustavo Baz</t>
  </si>
  <si>
    <t>1Iman</t>
  </si>
  <si>
    <t>1Interlomas</t>
  </si>
  <si>
    <t>1Lerma</t>
  </si>
  <si>
    <t>1Lindavista</t>
  </si>
  <si>
    <t>1Mexico Tacuba</t>
  </si>
  <si>
    <t>1Parques Polanco</t>
  </si>
  <si>
    <t>1Paseo Interlomas</t>
  </si>
  <si>
    <t>1Polanco</t>
  </si>
  <si>
    <t>1Puebla</t>
  </si>
  <si>
    <t>2Queretaro</t>
  </si>
  <si>
    <t>1Revolucion</t>
  </si>
  <si>
    <t>1Roma</t>
  </si>
  <si>
    <t>2Roma</t>
  </si>
  <si>
    <t>1San Antonio</t>
  </si>
  <si>
    <t>1Santa Fe</t>
  </si>
  <si>
    <t>2Santa Fe</t>
  </si>
  <si>
    <t>1Tepeyac</t>
  </si>
  <si>
    <t>1Tlalpan 949</t>
  </si>
  <si>
    <t>2Tlalpan 949</t>
  </si>
  <si>
    <t>1Tlalpan Coapa</t>
  </si>
  <si>
    <t>2Tlalpan Coapa</t>
  </si>
  <si>
    <t>1Toreo</t>
  </si>
  <si>
    <t>2Toreo</t>
  </si>
  <si>
    <t>1Universidad</t>
  </si>
  <si>
    <t>2Universidad</t>
  </si>
  <si>
    <t>1Ustorage Corporativo</t>
  </si>
  <si>
    <t>1Vasco</t>
  </si>
  <si>
    <t>1Viaducto</t>
  </si>
  <si>
    <t>2Viaducto</t>
  </si>
  <si>
    <t>Segmento</t>
  </si>
  <si>
    <t>Ejecución</t>
  </si>
  <si>
    <t>Summary</t>
  </si>
  <si>
    <t>Fecha final</t>
  </si>
  <si>
    <t>Dia de ejecución</t>
  </si>
  <si>
    <t>Proveedor/marca</t>
  </si>
  <si>
    <t>Detalle1</t>
  </si>
  <si>
    <t>Detalle2</t>
  </si>
  <si>
    <t>Detelle3</t>
  </si>
  <si>
    <t>Dias de finalización</t>
  </si>
  <si>
    <t>Sitio</t>
  </si>
  <si>
    <t>Fecha de pago</t>
  </si>
  <si>
    <t>Telecomunicaciones</t>
  </si>
  <si>
    <t>Fecha de aplicación</t>
  </si>
  <si>
    <t>Caducidad dominio</t>
  </si>
  <si>
    <t>Ejecucion Notify</t>
  </si>
  <si>
    <t>Fecha Notificacion</t>
  </si>
  <si>
    <t>Dias de notificación</t>
  </si>
  <si>
    <t>hnieto@u-storage.com.mx</t>
  </si>
  <si>
    <t>TelecomunicacionesLerma</t>
  </si>
  <si>
    <t>TelecomunicacionesRoma</t>
  </si>
  <si>
    <t>TelecomunicacionesCuajimalpa</t>
  </si>
  <si>
    <t>TelecomunicacionesGustavo Baz</t>
  </si>
  <si>
    <t>TelecomunicacionesLindavista</t>
  </si>
  <si>
    <t>TelecomunicacionesAlameda</t>
  </si>
  <si>
    <t>TelecomunicacionesAnzures</t>
  </si>
  <si>
    <t>TelecomunicacionesPolanco</t>
  </si>
  <si>
    <t>TelecomunicacionesAcapulco</t>
  </si>
  <si>
    <t>TelecomunicacionesTlalpan Coapa</t>
  </si>
  <si>
    <t>TelecomunicacionesUstorage Corporativo</t>
  </si>
  <si>
    <t>TelecomunicacionesDel Valle</t>
  </si>
  <si>
    <t>TelecomunicacionesSanta Fe</t>
  </si>
  <si>
    <t>TelecomunicacionesVasco</t>
  </si>
  <si>
    <t>TelecomunicacionesTepeyac</t>
  </si>
  <si>
    <t>TelecomunicacionesInterlomas</t>
  </si>
  <si>
    <t>TelecomunicacionesMexico Tacuba</t>
  </si>
  <si>
    <t>TelecomunicacionesPuebla</t>
  </si>
  <si>
    <t>TelecomunicacionesRevolucion</t>
  </si>
  <si>
    <t>TelecomunicacionesChurubusco</t>
  </si>
  <si>
    <t>TelecomunicacionesToreo</t>
  </si>
  <si>
    <t>TelecomunicacionesQueretaro</t>
  </si>
  <si>
    <t>TelecomunicacionesIman</t>
  </si>
  <si>
    <t>TelecomunicacionesTlalpan 949</t>
  </si>
  <si>
    <t>TelecomunicacionesParques Polanco</t>
  </si>
  <si>
    <t>TelecomunicacionesPaseo Interlomas</t>
  </si>
  <si>
    <t>TelecomunicacionesCircuito</t>
  </si>
  <si>
    <t>TelecomunicacionesPeriferico</t>
  </si>
  <si>
    <t>TelecomunicacionesUniversidad</t>
  </si>
  <si>
    <t>TelecomunicacionesViaducto</t>
  </si>
  <si>
    <t>TelecomunicacionesSan Antonio</t>
  </si>
  <si>
    <t>DominioUstorage Corporativo</t>
  </si>
  <si>
    <t>Ejecucion hoy</t>
  </si>
  <si>
    <t>Mensaje</t>
  </si>
  <si>
    <t>SegmentoSitio</t>
  </si>
  <si>
    <t>Enviado</t>
  </si>
  <si>
    <t>Reinicio</t>
  </si>
  <si>
    <t>alameda@u-storage.com.mx;rbonilla@u-storage.com.mx</t>
  </si>
  <si>
    <t>acapulco@u-storage.com.mx;lpenasco@u-storage.com.mx</t>
  </si>
  <si>
    <t>vasco@u-storage.com.mx;dnunez@u-storage.com.mx</t>
  </si>
  <si>
    <t>churubusco@u-storage.com.mx;rbonilla@u-storage.com.mx</t>
  </si>
  <si>
    <t>queretaro@u-storage.com.mx;rbonilla@u-storage.com.mx</t>
  </si>
  <si>
    <t>iman@u-storage.com.mx;lpenasco@u-storage.com.mx</t>
  </si>
  <si>
    <t>parquespolanco@u-storage.com.mx;dnunez@u-storage.com.mx</t>
  </si>
  <si>
    <t>paseointerlomas@u-storage.com.mx;rbonilla@u-storage.com.mx</t>
  </si>
  <si>
    <t>mhernandez@u-storage.com.mx;hnieto@u-storage.com.mx</t>
  </si>
  <si>
    <t>polanco@u-storage.com.mx;dnunez@u-storage.com.mx</t>
  </si>
  <si>
    <t>GB La Libertad</t>
  </si>
  <si>
    <t>1GB La Libertad</t>
  </si>
  <si>
    <t>2GB La Libertad</t>
  </si>
  <si>
    <t>U-Storage Servicios</t>
  </si>
  <si>
    <t>GB Mariano Otero</t>
  </si>
  <si>
    <t>GB Iteso</t>
  </si>
  <si>
    <t>GB Aviacion</t>
  </si>
  <si>
    <t>2GB Mariano Otero</t>
  </si>
  <si>
    <t>3GB Mariano Otero</t>
  </si>
  <si>
    <t>2GB Iteso</t>
  </si>
  <si>
    <t>2GB Aviacion</t>
  </si>
  <si>
    <t>U-Storage servicios SA de CV</t>
  </si>
  <si>
    <t>Administración Storage SA de CV</t>
  </si>
  <si>
    <t>TelecomunicacionesGB La Libertad</t>
  </si>
  <si>
    <t>TelecomunicacionesGB Mariano Otero</t>
  </si>
  <si>
    <t>TelecomunicacionesGB Iteso</t>
  </si>
  <si>
    <t>TelecomunicacionesGB Aviacion</t>
  </si>
  <si>
    <t>gb.marianootero@guardabox.com;erika.iniestra@guardabox.com</t>
  </si>
  <si>
    <t>gb.perifericosur@guardabox.com;erika.iniestra@guardabox.com</t>
  </si>
  <si>
    <t>gb.aviacion@guardabox.com;erika.iniestra@guardabox.com</t>
  </si>
  <si>
    <t>gb.sanluispotosi@guardabox.com;erika.iniestra@guardabox.com</t>
  </si>
  <si>
    <t>AdmonDominio</t>
  </si>
  <si>
    <t>Recordatorio</t>
  </si>
  <si>
    <t>General - Recoradorio Interno</t>
  </si>
  <si>
    <t>Recordar: Ejecutar validación de funcionamiento de dominios DNSs y registros</t>
  </si>
  <si>
    <t>RecordatorioUstorage Corporativo</t>
  </si>
  <si>
    <t>Cuenta/Dominio/issue</t>
  </si>
  <si>
    <t>GB Lazaro Cardenas</t>
  </si>
  <si>
    <t>1GB Lazaro Cardenas</t>
  </si>
  <si>
    <t>1GB Mariano Otero</t>
  </si>
  <si>
    <t>OneShoot</t>
  </si>
  <si>
    <t>2Ustorage Corporativo</t>
  </si>
  <si>
    <t>Paqueteconectes negocio</t>
  </si>
  <si>
    <t>gb.lazarocardenas@guardabox.com;erika.iniestra@guardabox.com</t>
  </si>
  <si>
    <t>TelecomunicacionesGB Lazaro Cardenas</t>
  </si>
  <si>
    <t>General - Recoradorio Exclusiones</t>
  </si>
  <si>
    <t>SucursalesExclusiones</t>
  </si>
  <si>
    <t>RecordatorioSucursalesExclusiones</t>
  </si>
  <si>
    <t>0200132061</t>
  </si>
  <si>
    <t>0200477395</t>
  </si>
  <si>
    <t>0200477394</t>
  </si>
  <si>
    <t>0200477393</t>
  </si>
  <si>
    <t>0200117224</t>
  </si>
  <si>
    <t>0901544395</t>
  </si>
  <si>
    <t>AllCorporation</t>
  </si>
  <si>
    <t>Copiar en envio de pagos a CxP</t>
  </si>
  <si>
    <t>Favor de copiar en las solicitudes de pago de servicios de telecomunicaciones a Hugo Nieto &lt;hnieto@u-storage.com.mx&gt;</t>
  </si>
  <si>
    <t>RecordatorioAllCorporation</t>
  </si>
  <si>
    <t>General - Solicitudes de pago</t>
  </si>
  <si>
    <t>Telefono Corporativo</t>
  </si>
  <si>
    <t>Recordar: Descarga y paga linea corporativo &lt;&lt;5552927604&gt;&gt;</t>
  </si>
  <si>
    <t>Recordar: Descarga y paga linea corporativo &lt;&lt;5559292078&gt;&gt;</t>
  </si>
  <si>
    <t>Periferico</t>
  </si>
  <si>
    <t>2Periferico</t>
  </si>
  <si>
    <t>lerma@u-storage.com.mx;subgte.lerma@u-storage.com.mx;dnunez@u-storage.com.mx</t>
  </si>
  <si>
    <t>roma@u-storage.com.mx;subgeroma@u-storage.com.mx;subgeroma2@u-storage.com.mx;lpenasco@u-storage.com.mx</t>
  </si>
  <si>
    <t>cuajimalpa@u-storage.com.mx;subgecuajimalpa@u-storage.com.mx;dnunez@u-storage.com.mx</t>
  </si>
  <si>
    <t>gustavobaz@u-storage.com.mx;subgebaz@u-storage.com.mx;rbonilla@u-storage.com.mx</t>
  </si>
  <si>
    <t>lindavista@u-storage.com.mx;subgelindavista@u-storage.com.mx;rbonilla@u-storage.com.mx</t>
  </si>
  <si>
    <t>anzures@u-storage.com.mx;subgerente.anzures@u-storage.com.mx;dnunez@u-storage.com.mx</t>
  </si>
  <si>
    <t>tlalpancoapa@u-storage.com.mx;subgetlalpancoapa@u-storage.com.mx;lpenasco@u-storage.com.mx</t>
  </si>
  <si>
    <t>valle@u-storage.com.mx;auxiliar.delvalle@u-storage.com.mx;subgevalle@u-storage.com.mx;lpenasco@u-storage.com.mx</t>
  </si>
  <si>
    <t>santafe@u-storage.com.mx;subgesantafe@u-storage.com.mx;auxsantafe@u-storage.com.mx;dnunez@u-storage.com.mx</t>
  </si>
  <si>
    <t>tepeyac@u-storage.com.mx;subgerente.tepeyac@u-storage.com.mx;rbonilla@u-storage.com.mx</t>
  </si>
  <si>
    <t>interlomas@u-storage.com.mx;subgerente.interlomas@u-storage.com.mx;rbonilla@u-storage.com.mx</t>
  </si>
  <si>
    <t>mexicotacuba@u-storage.com.mx;subgemexicotacuba@u-storage.com.mx;dnunez@u-storage.com.mx</t>
  </si>
  <si>
    <t>puebla@u-storage.com.mx;pueblasubge@u-storage.com.mx;rbonilla@u-storage.com.mx</t>
  </si>
  <si>
    <t>revolucion@u-storage.com.mx;auxiliar.revolucion@u-storage.com.mx;dnunez@u-storage.com.mx</t>
  </si>
  <si>
    <t>toreo@u-storage.com.mx;subgetoreo@u-storage.com.mx;rbonilla@u-storage.com.mx</t>
  </si>
  <si>
    <t>tlalpan949@u-storage.com.mx;subgetlalpan949@u-storage.com.mx;subgetlalpan9492@u-storage.com.mx;lpenasco@u-storage.com.mx</t>
  </si>
  <si>
    <t>circuito@u-storage.com.mx;subgecircuito@u-storage.com.mx;dnunez@u-storage.com.mx</t>
  </si>
  <si>
    <t>periferico@u-storage.com.mx;subgeperiferico@u-storage.com.mx;subgeperiferico2@u-storage.com.mx;lpenasco@u-storage.com.mx</t>
  </si>
  <si>
    <t>universidad@u-storage.com.mx;subuniversidad@u-storage.com.mx;lpenasco@u-storage.com.mx</t>
  </si>
  <si>
    <t>viaducto@u-storage.com.mx;subgeviaducto@u-storage.com.mx;subgeviaducto2@u-storage.com.mx;rbonilla@u-storage.com.mx</t>
  </si>
  <si>
    <t>sanantonio@u-storage.com.mx;subgerente.sanantonio@u-storage.com.mx;lpenasco@u-storage.com.mx</t>
  </si>
  <si>
    <t>SendGrid</t>
  </si>
  <si>
    <t>MicelaneoPagos</t>
  </si>
  <si>
    <t>RecordatorioMicelaneoPagos</t>
  </si>
  <si>
    <t>Debe hacerse la gestión de pago del servicio 'SendGrid' (102 USD). [Pago AMEX] - Pago en 5días</t>
  </si>
  <si>
    <t>Autodesk [Autocad]</t>
  </si>
  <si>
    <t>General - Pago30D</t>
  </si>
  <si>
    <t>General - PagoInmediato</t>
  </si>
  <si>
    <t>Debe hacerse la renovacion de licencia 'Autocad' - [ Número: 712100032938 | Asignación: Carlos Zepeda, Proyectos | Tipo de licencia: LT | Precio 2022: $5,133.00] &lt;&lt;LICENCIA EXPIRA EN 30 DIAS (Octube 18) &gt;&gt;   [Pago AMEX]</t>
  </si>
  <si>
    <t>Debe hacerse la renovacion de licencia 'Autocad' - [ Número: 712100032248 | Asignación: Daniela Cruz, Gestion | Tipo de licencia: LT | Precio 2022: $5,133.00] &lt;&lt;LICENCIA EXPIRA EN 30 DIAS (Octubre 02) &gt;&gt;   [Pago AMEX]</t>
  </si>
  <si>
    <t>Debe hacerse la renovacion de licencia 'Autocad' - [ Número: 712100032258 | Asignación: Diana Ochoa, Gestion | Tipo de licencia: LT | Precio 2022: $5,133.00] &lt;&lt;LICENCIA EXPIRA EN 30 DIAS (Octubre 02) &gt;&gt;   [Pago AMEX]</t>
  </si>
  <si>
    <t>Debe hacerse la renovacion de licencia 'Autocad' - [ Número: 110002172344 | Asignación: Eduardo Cervantes, Proyectos | Tipo de licencia: LT | Precio 2022: $5,133.00] &lt;&lt;LICENCIA EXPIRA EN 30 DIAS (Mayo 07) &gt;&gt;   [Pago AMEX]</t>
  </si>
  <si>
    <t>Debe hacerse la renovacion de licencia 'Autocad' - [ Número: 712100032939 | Asignación: Francisco Nava, Proyectos | Tipo de licencia: LT | Precio 2022: $5,133.00] &lt;&lt;LICENCIA EXPIRA EN 30 DIAS (Octube 18) &gt;&gt;   [Pago AMEX]</t>
  </si>
  <si>
    <t>Debe hacerse la renovacion de licencia 'Autocad' - [ Número: 712100040974 | Asignación: Jaime Merlo , Proyectos | Tipo de licencia: LT | Precio 2022: $5,133.00] &lt;&lt;LICENCIA EXPIRA EN 30 DIAS (Mayo 01) &gt;&gt;   [Pago AMEX]</t>
  </si>
  <si>
    <t>Debe hacerse la renovacion de licencia 'Autocad' - [ Número: 712100036089 | Asignación: Michel Forat, Proyectos | Tipo de licencia: LT MAC | Precio 2022: $5,133.00] &lt;&lt;LICENCIA EXPIRA EN 30 DIAS (Enero 10) &gt;&gt;   [Pago AMEX]</t>
  </si>
  <si>
    <t>Debe hacerse la renovacion de licencia 'Autocad' - [ Número: 712100032937 | Asignación: Rene Cocoletzi, Proyectos | Tipo de licencia: LT | Precio 2022: $5,133.00] &lt;&lt;LICENCIA EXPIRA EN 30 DIAS (Octube 18) &gt;&gt;   [Pago AMEX]</t>
  </si>
  <si>
    <t>Debe hacerse la renovacion de licencia 'Autocad' - [ Número: 712100032256 | Asignación: Israel Rivera, Gestion | Tipo de licencia: LT | Precio 2022: $5,133.00] &lt;&lt;LICENCIA EXPIRA EN 30 DIAS (Octubre 02) &gt;&gt;   [Pago AMEX]</t>
  </si>
  <si>
    <t>Debe hacerse la renovacion de licencia 'Autocad' - [ Número: 712100032942 | Asignación: Magaly Zambrano, Gestion | Tipo de licencia: LT | Precio 2022: $5,133.00] &lt;&lt;LICENCIA EXPIRA EN 30 DIAS (Octubre 12) &gt;&gt;   [Pago AMEX]</t>
  </si>
  <si>
    <t xml:space="preserve">Sketch Up </t>
  </si>
  <si>
    <t>LicenciasUsuarios</t>
  </si>
  <si>
    <t>Adobe</t>
  </si>
  <si>
    <t>Debe hacerse la renovacion de licencia 'SketchUp' - [ Número: SKP-PRO-YR-WEB-01 | Asignación: Francisco Nava, Proyectos | Tipo de licencia: PRO | Precio 2022: 299 USD] &lt;&lt;LICENCIA EXPIRA EN 30 DIAS (Abril 29) &gt;&gt;   [Pago AMEX]</t>
  </si>
  <si>
    <t>Debe hacerse la gestión de pago del servicio 'Photoshop|Illustrator|Acrobat Pro DC' ($85,662.92 MXN). [Pago AMEX] - Pago en 5días</t>
  </si>
  <si>
    <t>1Periferico</t>
  </si>
  <si>
    <t>0200508769</t>
  </si>
  <si>
    <t>0200509593</t>
  </si>
  <si>
    <t>-</t>
  </si>
  <si>
    <t>Aviación</t>
  </si>
  <si>
    <t>Lázaro Cárdenas</t>
  </si>
  <si>
    <t>Mariano Otero</t>
  </si>
  <si>
    <t>San Luis Potosí</t>
  </si>
  <si>
    <t>Periférico</t>
  </si>
  <si>
    <t>Corporativo</t>
  </si>
  <si>
    <t>Contabilidad</t>
  </si>
  <si>
    <t>dalderete@u-storage.com.mx</t>
  </si>
  <si>
    <t>RH</t>
  </si>
  <si>
    <t>barias@u-storage.com.mx</t>
  </si>
  <si>
    <t>cavila@u-storage.com.mx</t>
  </si>
  <si>
    <t>Dirección</t>
  </si>
  <si>
    <t>mabarbosa@intranetfs.com.mx</t>
  </si>
  <si>
    <t>Operaciones</t>
  </si>
  <si>
    <t>rbonilla@u-storage.com.mx</t>
  </si>
  <si>
    <t>TI</t>
  </si>
  <si>
    <t>mbruno@u-storage.com.mx</t>
  </si>
  <si>
    <t>Proyectos</t>
  </si>
  <si>
    <t>acampos@u-storage.com.mx</t>
  </si>
  <si>
    <t>Legal</t>
  </si>
  <si>
    <t>tcardenas@u-storage.com.mx</t>
  </si>
  <si>
    <t>Revenue Management</t>
  </si>
  <si>
    <t>ocarrillo@u-storage.com.mx</t>
  </si>
  <si>
    <t>Call Center</t>
  </si>
  <si>
    <t>ccarvajal@u-storage.com.mx</t>
  </si>
  <si>
    <t>fcastaneda@u-storage.com.mx</t>
  </si>
  <si>
    <t>Limpieza</t>
  </si>
  <si>
    <t>vcastro@intranetfs.com.mx</t>
  </si>
  <si>
    <t>ecervantes@u-storage.com.mx</t>
  </si>
  <si>
    <t>rcocoletzi@u-storage.com.mx</t>
  </si>
  <si>
    <t>Gestión y Normatividad</t>
  </si>
  <si>
    <t>dcruz@u-storage.com.mx</t>
  </si>
  <si>
    <t>acuetara@u-storage.com.mx</t>
  </si>
  <si>
    <t>Marketing</t>
  </si>
  <si>
    <t>edefuentes@u-storage.com.mx</t>
  </si>
  <si>
    <t>Cuentas por cobrar</t>
  </si>
  <si>
    <t>jrosa@u-storage.com.mx</t>
  </si>
  <si>
    <t>Cuentas por pagar</t>
  </si>
  <si>
    <t>vestrada@u-storage.com.mx</t>
  </si>
  <si>
    <t>mforat@u-storage.com.mx</t>
  </si>
  <si>
    <t>ggarcia@u-storage.com.mx</t>
  </si>
  <si>
    <t>mgarcia@u-storage.com.mx</t>
  </si>
  <si>
    <t>Tesorería</t>
  </si>
  <si>
    <t>mgomez@u-storage.com.mx</t>
  </si>
  <si>
    <t>bgonzalez@u-storage.com.mx</t>
  </si>
  <si>
    <t>Control y Prevención</t>
  </si>
  <si>
    <t>igonzalez@u-storage.com.mx</t>
  </si>
  <si>
    <t>mhernandez@u-storage.com.mx</t>
  </si>
  <si>
    <t>Fiscal</t>
  </si>
  <si>
    <t>chernandez@u-storage.com.mx</t>
  </si>
  <si>
    <t>edhernandez@u-storage.com.mx</t>
  </si>
  <si>
    <t>ehernandez@u-storage.com.mx</t>
  </si>
  <si>
    <t>dysita@u-storage.com.mx</t>
  </si>
  <si>
    <t>Mantenimiento</t>
  </si>
  <si>
    <t>mantenimiento@u-storage.com.mx</t>
  </si>
  <si>
    <t>lmartinez@u-storage.com.mx</t>
  </si>
  <si>
    <t>jmartinez@u-storage.com.mx</t>
  </si>
  <si>
    <t>cmartinez@u-storage.com.mx</t>
  </si>
  <si>
    <t>Contraloria</t>
  </si>
  <si>
    <t>dmaya@u-storage.com.mx</t>
  </si>
  <si>
    <t>nmendez@u-storage.com.mx</t>
  </si>
  <si>
    <t>jmerlo@u-storage.com.mx</t>
  </si>
  <si>
    <t>smondragon@u-storage.com.mx</t>
  </si>
  <si>
    <t>kmontano@u-storage.com.mx</t>
  </si>
  <si>
    <t>bmunoz@u-storage.com.mx</t>
  </si>
  <si>
    <t>fnava@u-storage.com.mx</t>
  </si>
  <si>
    <t>dnunez@u-storage.com.mx</t>
  </si>
  <si>
    <t>dochoa@u-storage.com.mx</t>
  </si>
  <si>
    <t>epadron@u-storage.com.mx</t>
  </si>
  <si>
    <t>lpenasco@u-storage.com.mx</t>
  </si>
  <si>
    <t>Finanzas</t>
  </si>
  <si>
    <t>pperez@u-storage.com.mx</t>
  </si>
  <si>
    <t>aramirez@u-storage.com.mx</t>
  </si>
  <si>
    <t>areyes@u-storage.com.mx</t>
  </si>
  <si>
    <t>irivera@u-storage.com.mx</t>
  </si>
  <si>
    <t>jrodriguez@u-storage.com.mx</t>
  </si>
  <si>
    <t>arojo@u-storage.com.mx</t>
  </si>
  <si>
    <t>aruiz@u-storage.com.mx</t>
  </si>
  <si>
    <t>iruiz@u-storage.com.mx</t>
  </si>
  <si>
    <t>jsalcedo@u-storage.com.mx</t>
  </si>
  <si>
    <t>lesaldana@u-storage.com.mx</t>
  </si>
  <si>
    <t>fsantiago@u-storage.com.mx</t>
  </si>
  <si>
    <t>gtolama@u-storage.com.mx</t>
  </si>
  <si>
    <t>jtorres@u-storage.com.mx</t>
  </si>
  <si>
    <t>fvazquez@u-storage.com.mx</t>
  </si>
  <si>
    <t>pvelasco@u-storage.com.mx</t>
  </si>
  <si>
    <t>svelasco@intranetfs.com.mx</t>
  </si>
  <si>
    <t>fvelasco@u-storage.com.mx</t>
  </si>
  <si>
    <t>gvillanueva@u-storage.com.mx</t>
  </si>
  <si>
    <t>mzambrano@u-storage.com.mx</t>
  </si>
  <si>
    <t>czepeda@u-storage.com.mx</t>
  </si>
  <si>
    <t>scazares@u-storage.com.mx</t>
  </si>
  <si>
    <t>Mayra Bruno</t>
  </si>
  <si>
    <t/>
  </si>
  <si>
    <t>Código personal de acceso NoKe a Corporativo</t>
  </si>
  <si>
    <t>Buen día Guadalupe
Tenemos el agrado de compartirte el código de acceso digital para el dispositivo NoKe a corporativo.
*03563#
Recordando amablemente que el código es personal e intransferible.
Atentamente:
Equipo de TI.</t>
  </si>
  <si>
    <t>Buen día Cristobal
Tenemos el agrado de compartirte el código de acceso digital para el dispositivo NoKe a corporativo.
*03114#
Recordando amablemente que el código es personal e intransferible.
Atentamente:
Equipo de TI.</t>
  </si>
  <si>
    <t>Buen día Carlos
Tenemos el agrado de compartirte el código de acceso digital para el dispositivo NoKe a corporativo.
*03556#
Recordando amablemente que el código es personal e intransferible.
Atentamente:
Equipo de TI.</t>
  </si>
  <si>
    <t>Buen día Pamela
Tenemos el agrado de compartirte el código de acceso digital para el dispositivo NoKe a corporativo.
*07428#
Recordando amablemente que el código es personal e intransferible.
Atentamente:
Equipo de TI.</t>
  </si>
  <si>
    <t>Buen día Luis
Tenemos el agrado de compartirte el código de acceso digital para el dispositivo NoKe a corporativo.
*07531#
Recordando amablemente que el código es personal e intransferible.
Atentamente:
Equipo de TI.</t>
  </si>
  <si>
    <t>Buen día Alejandro
Tenemos el agrado de compartirte el código de acceso digital para el dispositivo NoKe a corporativo.
*07415#
Recordando amablemente que el código es personal e intransferible.
Atentamente:
Equipo de TI.</t>
  </si>
  <si>
    <t>Buen día Ezequiel
Tenemos el agrado de compartirte el código de acceso digital para el dispositivo NoKe a corporativo.
*07441#
Recordando amablemente que el código es personal e intransferible.
Atentamente:
Equipo de TI.</t>
  </si>
  <si>
    <t>Buen día Sandra
Tenemos el agrado de compartirte el código de acceso digital para el dispositivo NoKe a corporativo.
*07434#
Recordando amablemente que el código es personal e intransferible.
Atentamente:
Equipo de TI.</t>
  </si>
  <si>
    <t>Buen día Julia
Tenemos el agrado de compartirte el código de acceso digital para el dispositivo NoKe a corporativo.
*07439#
Recordando amablemente que el código es personal e intransferible.
Atentamente:
Equipo de TI.</t>
  </si>
  <si>
    <t>Buen día Meztli
Tenemos el agrado de compartirte el código de acceso digital para el dispositivo NoKe a corporativo.
*07656#
Recordando amablemente que el código es personal e intransferible.
Atentamente:
Equipo de TI.</t>
  </si>
  <si>
    <t>Buen día Daniel
Tenemos el agrado de compartirte el código de acceso digital para el dispositivo NoKe a corporativo.
*07424#
Recordando amablemente que el código es personal e intransferible.
Atentamente:
Equipo de TI.</t>
  </si>
  <si>
    <t>Buen día Alejandro
Tenemos el agrado de compartirte el código de acceso digital para el dispositivo NoKe a corporativo.
*03402#
Recordando amablemente que el código es personal e intransferible.
Atentamente:
Equipo de TI.</t>
  </si>
  <si>
    <t>Buen día Sergio
Tenemos el agrado de compartirte el código de acceso digital para el dispositivo NoKe a corporativo.
*07458#
Recordando amablemente que el código es personal e intransferible.
Atentamente:
Equipo de TI.</t>
  </si>
  <si>
    <t>Buen día Diego
Tenemos el agrado de compartirte el código de acceso digital para el dispositivo NoKe a corporativo.
*81157#
Recordando amablemente que el código es personal e intransferible.
Atentamente:
Equipo de TI.</t>
  </si>
  <si>
    <t>Buen día Miguel
Tenemos el agrado de compartirte el código de acceso digital para el dispositivo NoKe a corporativo.
*01261#
Recordando amablemente que el código es personal e intransferible.
Atentamente:
Equipo de TI.</t>
  </si>
  <si>
    <t>Buen día Paulina
Tenemos el agrado de compartirte el código de acceso digital para el dispositivo NoKe a corporativo.
*07367#
Recordando amablemente que el código es personal e intransferible.
Atentamente:
Equipo de TI.</t>
  </si>
  <si>
    <t>Buen día Carlos
Tenemos el agrado de compartirte el código de acceso digital para el dispositivo NoKe a corporativo.
*07613#
Recordando amablemente que el código es personal e intransferible.
Atentamente:
Equipo de TI.</t>
  </si>
  <si>
    <t>Buen día Diana
Tenemos el agrado de compartirte el código de acceso digital para el dispositivo NoKe a corporativo.
*05296#
Recordando amablemente que el código es personal e intransferible.
Atentamente:
Equipo de TI.</t>
  </si>
  <si>
    <t>Buen día Harumi
Tenemos el agrado de compartirte el código de acceso digital para el dispositivo NoKe a corporativo.
*05359#
Recordando amablemente que el código es personal e intransferible.
Atentamente:
Equipo de TI.</t>
  </si>
  <si>
    <t>Buen día Magaly
Tenemos el agrado de compartirte el código de acceso digital para el dispositivo NoKe a corporativo.
*05736#
Recordando amablemente que el código es personal e intransferible.
Atentamente:
Equipo de TI.</t>
  </si>
  <si>
    <t>Buen día Israel
Tenemos el agrado de compartirte el código de acceso digital para el dispositivo NoKe a corporativo.
*05735#
Recordando amablemente que el código es personal e intransferible.
Atentamente:
Equipo de TI.</t>
  </si>
  <si>
    <t>Buen día Fernando
Tenemos el agrado de compartirte el código de acceso digital para el dispositivo NoKe a corporativo.
*06335#
Recordando amablemente que el código es personal e intransferible.
Atentamente:
Equipo de TI.</t>
  </si>
  <si>
    <t>Buen día Gustavo
Tenemos el agrado de compartirte el código de acceso digital para el dispositivo NoKe a corporativo.
*06728#
Recordando amablemente que el código es personal e intransferible.
Atentamente:
Equipo de TI.</t>
  </si>
  <si>
    <t>Buen día Benjamin
Tenemos el agrado de compartirte el código de acceso digital para el dispositivo NoKe a corporativo.
*06272#
Recordando amablemente que el código es personal e intransferible.
Atentamente:
Equipo de TI.</t>
  </si>
  <si>
    <t>Buen día Brenda
Tenemos el agrado de compartirte el código de acceso digital para el dispositivo NoKe a corporativo.
*06461#
Recordando amablemente que el código es personal e intransferible.
Atentamente:
Equipo de TI.</t>
  </si>
  <si>
    <t>Buen día Theo
Tenemos el agrado de compartirte el código de acceso digital para el dispositivo NoKe a corporativo.
*06658#
Recordando amablemente que el código es personal e intransferible.
Atentamente:
Equipo de TI.</t>
  </si>
  <si>
    <t>Buen día Carlos
Tenemos el agrado de compartirte el código de acceso digital para el dispositivo NoKe a corporativo.
*04217#
Recordando amablemente que el código es personal e intransferible.
Atentamente:
Equipo de TI.</t>
  </si>
  <si>
    <t>Buen día Gaspar
Tenemos el agrado de compartirte el código de acceso digital para el dispositivo NoKe a corporativo.
*04344#
Recordando amablemente que el código es personal e intransferible.
Atentamente:
Equipo de TI.</t>
  </si>
  <si>
    <t>Buen día Eduardo
Tenemos el agrado de compartirte el código de acceso digital para el dispositivo NoKe a corporativo.
*08342#
Recordando amablemente que el código es personal e intransferible.
Atentamente:
Equipo de TI.</t>
  </si>
  <si>
    <t>Buen día Felipe
Tenemos el agrado de compartirte el código de acceso digital para el dispositivo NoKe a corporativo.
*03186#
Recordando amablemente que el código es personal e intransferible.
Atentamente:
Equipo de TI.</t>
  </si>
  <si>
    <t>Buen día Luis
Tenemos el agrado de compartirte el código de acceso digital para el dispositivo NoKe a corporativo.
*03590#
Recordando amablemente que el código es personal e intransferible.
Atentamente:
Equipo de TI.</t>
  </si>
  <si>
    <t>Buen día Alfonso
Tenemos el agrado de compartirte el código de acceso digital para el dispositivo NoKe a corporativo.
*03456#
Recordando amablemente que el código es personal e intransferible.
Atentamente:
Equipo de TI.</t>
  </si>
  <si>
    <t>Buen día Elizabeth
Tenemos el agrado de compartirte el código de acceso digital para el dispositivo NoKe a corporativo.
*03224#
Recordando amablemente que el código es personal e intransferible.
Atentamente:
Equipo de TI.</t>
  </si>
  <si>
    <t>Buen día Jaime
Tenemos el agrado de compartirte el código de acceso digital para el dispositivo NoKe a corporativo.
*03680#
Recordando amablemente que el código es personal e intransferible.
Atentamente:
Equipo de TI.</t>
  </si>
  <si>
    <t>Buen día Ricardo
Tenemos el agrado de compartirte el código de acceso digital para el dispositivo NoKe a corporativo.
*03177#
Recordando amablemente que el código es personal e intransferible.
Atentamente:
Equipo de TI.</t>
  </si>
  <si>
    <t>Buen día Jaime
Tenemos el agrado de compartirte el código de acceso digital para el dispositivo NoKe a corporativo.
*04265#
Recordando amablemente que el código es personal e intransferible.
Atentamente:
Equipo de TI.</t>
  </si>
  <si>
    <t>Buen día Michel
Tenemos el agrado de compartirte el código de acceso digital para el dispositivo NoKe a corporativo.
*04237#
Recordando amablemente que el código es personal e intransferible.
Atentamente:
Equipo de TI.</t>
  </si>
  <si>
    <t>Buen día Carlos
Tenemos el agrado de compartirte el código de acceso digital para el dispositivo NoKe a corporativo.
*04122#
Recordando amablemente que el código es personal e intransferible.
Atentamente:
Equipo de TI.</t>
  </si>
  <si>
    <t>Buen día Francisco
Tenemos el agrado de compartirte el código de acceso digital para el dispositivo NoKe a corporativo.
*04283#
Recordando amablemente que el código es personal e intransferible.
Atentamente:
Equipo de TI.</t>
  </si>
  <si>
    <t>Buen día Rene
Tenemos el agrado de compartirte el código de acceso digital para el dispositivo NoKe a corporativo.
*04289#
Recordando amablemente que el código es personal e intransferible.
Atentamente:
Equipo de TI.</t>
  </si>
  <si>
    <t>Buen día Eduardo
Tenemos el agrado de compartirte el código de acceso digital para el dispositivo NoKe a corporativo.
*04346#
Recordando amablemente que el código es personal e intransferible.
Atentamente:
Equipo de TI.</t>
  </si>
  <si>
    <t>Buen día Mayra
Tenemos el agrado de compartirte el código de acceso digital para el dispositivo NoKe a corporativo.
*04255#
Recordando amablemente que el código es personal e intransferible.
Atentamente:
Equipo de TI.</t>
  </si>
  <si>
    <t>Buen día Oscar
Tenemos el agrado de compartirte el código de acceso digital para el dispositivo NoKe a corporativo.
*03331#
Recordando amablemente que el código es personal e intransferible.
Atentamente:
Equipo de TI.</t>
  </si>
  <si>
    <t>Buen día Mariana
Tenemos el agrado de compartirte el código de acceso digital para el dispositivo NoKe a corporativo.
*03463#
Recordando amablemente que el código es personal e intransferible.
Atentamente:
Equipo de TI.</t>
  </si>
  <si>
    <t>Buen día Alejandro
Tenemos el agrado de compartirte el código de acceso digital para el dispositivo NoKe a corporativo.
*02236#
Recordando amablemente que el código es personal e intransferible.
Atentamente:
Equipo de TI.</t>
  </si>
  <si>
    <t>Buen día Pilar
Tenemos el agrado de compartirte el código de acceso digital para el dispositivo NoKe a corporativo.
*02786#
Recordando amablemente que el código es personal e intransferible.
Atentamente:
Equipo de TI.</t>
  </si>
  <si>
    <t>Buen día Faridi
Tenemos el agrado de compartirte el código de acceso digital para el dispositivo NoKe a corporativo.
*02791#
Recordando amablemente que el código es personal e intransferible.
Atentamente:
Equipo de TI.</t>
  </si>
  <si>
    <t>Buen día Brenda
Tenemos el agrado de compartirte el código de acceso digital para el dispositivo NoKe a corporativo.
*92398#
Recordando amablemente que el código es personal e intransferible.
Atentamente:
Equipo de TI.</t>
  </si>
  <si>
    <t>Buen día Miriam
Tenemos el agrado de compartirte el código de acceso digital para el dispositivo NoKe a corporativo.
*07454#
Recordando amablemente que el código es personal e intransferible.
Atentamente:
Equipo de TI.</t>
  </si>
  <si>
    <t>Buen día Elizabeth
Tenemos el agrado de compartirte el código de acceso digital para el dispositivo NoKe a corporativo.
*07145#
Recordando amablemente que el código es personal e intransferible.
Atentamente:
Equipo de TI.</t>
  </si>
  <si>
    <t>Buen día Miguel
Tenemos el agrado de compartirte el código de acceso digital para el dispositivo NoKe a corporativo.
*07151#
Recordando amablemente que el código es personal e intransferible.
Atentamente:
Equipo de TI.</t>
  </si>
  <si>
    <t>Buen día Karin
Tenemos el agrado de compartirte el código de acceso digital para el dispositivo NoKe a corporativo.
*07251#
Recordando amablemente que el código es personal e intransferible.
Atentamente:
Equipo de TI.</t>
  </si>
  <si>
    <t>Buen día Mayra
Tenemos el agrado de compartirte el código de acceso digital para el dispositivo NoKe a corporativo.
*07338#
Recordando amablemente que el código es personal e intransferible.
Atentamente:
Equipo de TI.</t>
  </si>
  <si>
    <t>Buen día Verónica
Tenemos el agrado de compartirte el código de acceso digital para el dispositivo NoKe a corporativo.
*07717#
Recordando amablemente que el código es personal e intransferible.
Atentamente:
Equipo de TI.</t>
  </si>
  <si>
    <t>Buen día Hugo
Tenemos el agrado de compartirte el código de acceso digital para el dispositivo NoKe a corporativo.
*07732#
Recordando amablemente que el código es personal e intransferible.
Atentamente:
Equipo de TI.</t>
  </si>
  <si>
    <t>Buen día Jonathan
Tenemos el agrado de compartirte el código de acceso digital para el dispositivo NoKe a corporativo.
*07437#
Recordando amablemente que el código es personal e intransferible.
Atentamente:
Equipo de TI.</t>
  </si>
  <si>
    <t>Buen día Armando
Tenemos el agrado de compartirte el código de acceso digital para el dispositivo NoKe a corporativo.
*03310#
Recordando amablemente que el código es personal e intransferible.
Atentamente:
Equipo de TI.</t>
  </si>
  <si>
    <t>Buen día Maribel
Tenemos el agrado de compartirte el código de acceso digital para el dispositivo NoKe a corporativo.
*07457#
Recordando amablemente que el código es personal e intransferible.
Atentamente:
Equipo de TI.</t>
  </si>
  <si>
    <t>Buen día Fausto
Tenemos el agrado de compartirte el código de acceso digital para el dispositivo NoKe a corporativo.
*04290#
Recordando amablemente que el código es personal e intransferible.
Atentamente:
Equipo de TI.</t>
  </si>
  <si>
    <t>Buen día Nidia
Tenemos el agrado de compartirte el código de acceso digital para el dispositivo NoKe a corporativo.
*07260#
Recordando amablemente que el código es personal e intransferible.
Atentamente:
Equipo de TI.</t>
  </si>
  <si>
    <t>Buen día Jose Antonio
Tenemos el agrado de compartirte el código de acceso digital para el dispositivo NoKe a corporativo.
*07148#
Recordando amablemente que el código es personal e intransferible.
Atentamente:
Equipo de TI.</t>
  </si>
  <si>
    <t>Buen día Luis
Tenemos el agrado de compartirte el código de acceso digital para el dispositivo NoKe a corporativo.
*07218#
Recordando amablemente que el código es personal e intransferible.
Atentamente:
Equipo de TI.</t>
  </si>
  <si>
    <t>Buen día Jose
Tenemos el agrado de compartirte el código de acceso digital para el dispositivo NoKe a corporativo.
*07892#
Recordando amablemente que el código es personal e intransferible.
Atentamente:
Equipo de TI.</t>
  </si>
  <si>
    <t>Buen día Saul
Tenemos el agrado de compartirte el código de acceso digital para el dispositivo NoKe a corporativo.
*01356#
Recordando amablemente que el código es personal e intransferible.
Atentamente:
Equipo de TI.</t>
  </si>
  <si>
    <t>Buen día Eugenio
Tenemos el agrado de compartirte el código de acceso digital para el dispositivo NoKe a corporativo.
*07444#
Recordando amablemente que el código es personal e intransferible.
Atentamente:
Equipo de TI.</t>
  </si>
  <si>
    <t>Buen día Veronica
Tenemos el agrado de compartirte el código de acceso digital para el dispositivo NoKe a corporativo.
*92667#
Recordando amablemente que el código es personal e intransferible.
Atentamente:
Equipo de TI.</t>
  </si>
  <si>
    <t>Buen día Eduardo
Tenemos el agrado de compartirte el código de acceso digital para el dispositivo NoKe a corporativo.
*04794#
Recordando amablemente que el código es personal e intransferible.
Atentamente:
Equipo de TI.</t>
  </si>
  <si>
    <t>Circuito</t>
  </si>
  <si>
    <t>México Tacuba</t>
  </si>
  <si>
    <t>Facturas Multifuncional</t>
  </si>
  <si>
    <t>Recordar: Solicitar facturas a proveedor &lt;&lt;Interlace&gt;&gt;</t>
  </si>
  <si>
    <t>RecordatorioFacturas Multifuncional</t>
  </si>
  <si>
    <t>Multifuncionales Guardabox</t>
  </si>
  <si>
    <t>Interlace</t>
  </si>
  <si>
    <t>Aplicativos</t>
  </si>
  <si>
    <t>Pago de aplicativos</t>
  </si>
  <si>
    <t>AdmonAplicativos</t>
  </si>
  <si>
    <t>AplicativosPago de aplicativos</t>
  </si>
  <si>
    <t>Recordar: Solicitar si existe aplicativo que se deje de pagar para el Q1</t>
  </si>
  <si>
    <t>Recordar: Solicitar si existe aplicativo que se deje de pagar para el Q2</t>
  </si>
  <si>
    <t>Recordar: Solicitar si existe aplicativo que se deje de pagar para el Q3</t>
  </si>
  <si>
    <t>Recordar: Solicitar si existe aplicativo que se deje de pagar para el Q4</t>
  </si>
  <si>
    <t>TelecomunicacionesNarvarte</t>
  </si>
  <si>
    <t>narvarte@u-storage.com.mx;lpenasco@u-storage.com.mx</t>
  </si>
  <si>
    <t>Identificador</t>
  </si>
  <si>
    <t>NotificacionAsignacionAgente</t>
  </si>
  <si>
    <t>Periférico Sur</t>
  </si>
  <si>
    <t>Imán</t>
  </si>
  <si>
    <t>Narvarte</t>
  </si>
  <si>
    <t>Querétaro</t>
  </si>
  <si>
    <t>Revolución</t>
  </si>
  <si>
    <t>Sitio/Persona</t>
  </si>
  <si>
    <t>TO</t>
  </si>
  <si>
    <t>CC</t>
  </si>
  <si>
    <t>Asunto</t>
  </si>
  <si>
    <t>Enviar</t>
  </si>
  <si>
    <t>Miguel Hernandez</t>
  </si>
  <si>
    <t>Jonathan Martinez</t>
  </si>
  <si>
    <t>mbruno@u-storage.com.mx;kmontano@u-storage.com.mx</t>
  </si>
  <si>
    <t>jmartinez@u-storage.com.mx;kmontano@u-storage.com.mx</t>
  </si>
  <si>
    <t>mhernandez@u-storage.com.mx;kmontano@u-storage.com.mx</t>
  </si>
  <si>
    <t>NombrePersonal</t>
  </si>
  <si>
    <t>Ariel</t>
  </si>
  <si>
    <t>Adrian/Citlaly</t>
  </si>
  <si>
    <t>Agustin/Yessi</t>
  </si>
  <si>
    <t>Alex</t>
  </si>
  <si>
    <t>Bren</t>
  </si>
  <si>
    <t>Carlos</t>
  </si>
  <si>
    <t>Carlos/Gustavo</t>
  </si>
  <si>
    <t>Carmina/Mitzy</t>
  </si>
  <si>
    <t>Carolina</t>
  </si>
  <si>
    <t>Cedrik/Jose Luis</t>
  </si>
  <si>
    <t>Cristian</t>
  </si>
  <si>
    <t>Edgar/Luis</t>
  </si>
  <si>
    <t>Gabriel/Alvaro</t>
  </si>
  <si>
    <t>Gaby</t>
  </si>
  <si>
    <t>Gus/Ana</t>
  </si>
  <si>
    <t>Johan/Fer</t>
  </si>
  <si>
    <t>Luis</t>
  </si>
  <si>
    <t>Luis/Alex</t>
  </si>
  <si>
    <t>Luis/Kenny</t>
  </si>
  <si>
    <t>Martha</t>
  </si>
  <si>
    <t>Nancy</t>
  </si>
  <si>
    <t>Oscar/Edgar</t>
  </si>
  <si>
    <t>Pao</t>
  </si>
  <si>
    <t>Rodrigo/Rebeca</t>
  </si>
  <si>
    <t>Vanina/Cristian</t>
  </si>
  <si>
    <t>Vic/Eri</t>
  </si>
  <si>
    <t>Viole/Humberto</t>
  </si>
  <si>
    <t>Esthela</t>
  </si>
  <si>
    <t>Freedy</t>
  </si>
  <si>
    <t>Eric</t>
  </si>
  <si>
    <t>Lilí</t>
  </si>
  <si>
    <t>Érick</t>
  </si>
  <si>
    <t>Pris/Angie</t>
  </si>
  <si>
    <t>Mike/Joel</t>
  </si>
  <si>
    <t>Ale</t>
  </si>
  <si>
    <t>Alfred</t>
  </si>
  <si>
    <t>[Done]</t>
  </si>
  <si>
    <t>Sucursal</t>
  </si>
  <si>
    <t>Notify</t>
  </si>
  <si>
    <t>Send</t>
  </si>
  <si>
    <t>Status</t>
  </si>
  <si>
    <t>NotificacionEjemplo</t>
  </si>
  <si>
    <t>NombrePila</t>
  </si>
  <si>
    <t>hola@u-storage.com.mx</t>
  </si>
  <si>
    <t>Cuerpo del correo</t>
  </si>
  <si>
    <t>CodigoPersonalNoKe</t>
  </si>
  <si>
    <t>Retirado a solicitud DM</t>
  </si>
  <si>
    <t>0200518210</t>
  </si>
  <si>
    <t>1Narvarte</t>
  </si>
  <si>
    <t>F1767</t>
  </si>
  <si>
    <t xml:space="preserve"> Código personal de acceso NoKe-Corporativo [Requiere confirmación]</t>
  </si>
  <si>
    <t>dysita@gip.com.mx</t>
  </si>
  <si>
    <t>ksalgado@u-storage.com.mx</t>
  </si>
  <si>
    <t>fanaya@u-storage.com.mx</t>
  </si>
  <si>
    <t>Verónica</t>
  </si>
  <si>
    <t>Jose</t>
  </si>
  <si>
    <t>Cristobal</t>
  </si>
  <si>
    <t>Jose Antonio</t>
  </si>
  <si>
    <t>Miguel</t>
  </si>
  <si>
    <t>Diego</t>
  </si>
  <si>
    <t>Ricardo</t>
  </si>
  <si>
    <t>Felipe</t>
  </si>
  <si>
    <t>Elizabeth</t>
  </si>
  <si>
    <t>Alejandro</t>
  </si>
  <si>
    <t>Michel</t>
  </si>
  <si>
    <t>Mayra</t>
  </si>
  <si>
    <t>Nidia</t>
  </si>
  <si>
    <t>Jaime</t>
  </si>
  <si>
    <t>Francisco</t>
  </si>
  <si>
    <t>Rene</t>
  </si>
  <si>
    <t>Fausto</t>
  </si>
  <si>
    <t>Armando</t>
  </si>
  <si>
    <t>Oscar</t>
  </si>
  <si>
    <t>Fernando</t>
  </si>
  <si>
    <t>Eduardo</t>
  </si>
  <si>
    <t>Gaspar</t>
  </si>
  <si>
    <t>Saul</t>
  </si>
  <si>
    <t>Harumi</t>
  </si>
  <si>
    <t>Paulina</t>
  </si>
  <si>
    <t>Brenda</t>
  </si>
  <si>
    <t>Daniel</t>
  </si>
  <si>
    <t>Sandra</t>
  </si>
  <si>
    <t>Jonathan</t>
  </si>
  <si>
    <t>Julia</t>
  </si>
  <si>
    <t>Ezequiel</t>
  </si>
  <si>
    <t>Eugenio</t>
  </si>
  <si>
    <t>Maribel</t>
  </si>
  <si>
    <t>Sergio</t>
  </si>
  <si>
    <t>Mariana</t>
  </si>
  <si>
    <t>Guadalupe</t>
  </si>
  <si>
    <t>Theo</t>
  </si>
  <si>
    <t>Veronica</t>
  </si>
  <si>
    <t>Hugo</t>
  </si>
  <si>
    <t>Israel</t>
  </si>
  <si>
    <t>Magaly</t>
  </si>
  <si>
    <t>Faridi</t>
  </si>
  <si>
    <t>karen</t>
  </si>
  <si>
    <t>Fernanda</t>
  </si>
  <si>
    <t>ReenvioCodigoPersonalNoKe</t>
  </si>
  <si>
    <t>FacturasMike</t>
  </si>
  <si>
    <t>RecordatorioFacturasMike</t>
  </si>
  <si>
    <t>General - Equipo TI</t>
  </si>
  <si>
    <t>Amigo Mike: Por favor ayudame son las facturas que tengas del mes pasado, Te agradezco mucho..!!</t>
  </si>
  <si>
    <t>Amigo Mike: Esto es un recordatorio para no olvidar pasar las facturas de los últimos 15 días.</t>
  </si>
  <si>
    <t>NotificaciónVisitaNoKe</t>
  </si>
  <si>
    <t>mexicotacuba@u-storage.com.mx;subgemexicotacuba@u-storage.com.mx</t>
  </si>
  <si>
    <t>revolucion@u-storage.com.mx;auxiliar.revolucion@u-storage.com.mx</t>
  </si>
  <si>
    <t>lindavista@u-storage.com.mx;subgelindavista@u-storage.com.mx</t>
  </si>
  <si>
    <t>anzures@u-storage.com.mx;subgerente.anzures@u-storage.com.mx</t>
  </si>
  <si>
    <t>paseointerlomas@u-storage.com.mx</t>
  </si>
  <si>
    <t>interlomas@u-storage.com.mx;subgerente.interlomas@u-storage.com.mx</t>
  </si>
  <si>
    <t>Viernes 12 de Agosto</t>
  </si>
  <si>
    <t>Mañana, jueves 11 de Agosto</t>
  </si>
  <si>
    <t>de Hoy, 10 de Agosto</t>
  </si>
  <si>
    <t>Vista: Técnico NoKe Mexico Tacuba</t>
  </si>
  <si>
    <t>Buen día Pris/Angie
El día de Hoy, 10 de Agosto está programada la visita de un técnico de NoKe, que nos ayudará a diagnosticar los problemas que tenemos con la plataforma.
Esta visita se ejecutará en un horario de -.
Por favor estemos atentos y preparados con dudas y errores que se hayan suscitado en la sucursal.
De antemano agradecemos todo el apoyo en esta visita que nos será muy benéfica.
Saludos.
Hugo Nieto.</t>
  </si>
  <si>
    <t>Vista: Técnico NoKe Revolucion</t>
  </si>
  <si>
    <t>Buen día Ale
El día Mañana, jueves 11 de Agosto está programada la visita de un técnico de NoKe, que nos ayudará a diagnosticar los problemas que tenemos con la plataforma.
Esta visita se ejecutará en un horario de -.
Por favor estemos atentos y preparados con dudas y errores que se hayan suscitado en la sucursal.
De antemano agradecemos todo el apoyo en esta visita que nos será muy benéfica.
Saludos.
Hugo Nieto.</t>
  </si>
  <si>
    <t>Vista: Técnico NoKe Lindavista</t>
  </si>
  <si>
    <t>Buen día Luis
El día Mañana, jueves 11 de Agosto está programada la visita de un técnico de NoKe, que nos ayudará a diagnosticar los problemas que tenemos con la plataforma.
Esta visita se ejecutará en un horario de -.
Por favor estemos atentos y preparados con dudas y errores que se hayan suscitado en la sucursal.
De antemano agradecemos todo el apoyo en esta visita que nos será muy benéfica.
Saludos.
Hugo Nieto.</t>
  </si>
  <si>
    <t>Vista: Técnico NoKe Anzures</t>
  </si>
  <si>
    <t>Buen día Viole/Humberto
El día Mañana, jueves 11 de Agosto está programada la visita de un técnico de NoKe, que nos ayudará a diagnosticar los problemas que tenemos con la plataforma.
Esta visita se ejecutará en un horario de -.
Por favor estemos atentos y preparados con dudas y errores que se hayan suscitado en la sucursal.
De antemano agradecemos todo el apoyo en esta visita que nos será muy benéfica.
Saludos.
Hugo Nieto.</t>
  </si>
  <si>
    <t>Vista: Técnico NoKe Paseo Interlomas</t>
  </si>
  <si>
    <t>Buen día Martha
El día Viernes 12 de Agosto está programada la visita de un técnico de NoKe, que nos ayudará a diagnosticar los problemas que tenemos con la plataforma.
Esta visita se ejecutará en un horario de -.
Por favor estemos atentos y preparados con dudas y errores que se hayan suscitado en la sucursal.
De antemano agradecemos todo el apoyo en esta visita que nos será muy benéfica.
Saludos.
Hugo Nieto.</t>
  </si>
  <si>
    <t>Vista: Técnico NoKe Interlomas</t>
  </si>
  <si>
    <t>Buen día Oscar/Edgar
El día Viernes 12 de Agosto está programada la visita de un técnico de NoKe, que nos ayudará a diagnosticar los problemas que tenemos con la plataforma.
Esta visita se ejecutará en un horario de -.
Por favor estemos atentos y preparados con dudas y errores que se hayan suscitado en la sucursal.
De antemano agradecemos todo el apoyo en esta visita que nos será muy benéfica.
Saludos.
Hugo Nieto.</t>
  </si>
  <si>
    <t>Slot1</t>
  </si>
  <si>
    <t>Slot2</t>
  </si>
  <si>
    <t>C:\Users\Hugo Nieto\Desktop\Boveda\Guias\NoKe-GuiaInicioApp.pdf|C:\Users\Hugo Nieto\Desktop\Boveda\Guias\Noke-Acceso Teclado Corporativo.pdf|C:\Users\Hugo Nieto\Desktop\Boveda\Guias\Noke-Acceso Celular Corporativo.pdf</t>
  </si>
  <si>
    <t>Attachments (5) (Separador ´|´)</t>
  </si>
  <si>
    <t>Buen día Verónica
Reenviamos el código de acceso digital para el dispositivo NoKe en corporativo.
*07717#
Recordando amablemente que el código es personal e intransferible.
&lt;&lt;Te agradecemos nos confirmes la recepción del código | Adjunto encontraremos los manuales de acceso NoKe&gt;&gt;
Atentamente:
Equipo de TI.</t>
  </si>
  <si>
    <t>Buen día Jose
Reenviamos el código de acceso digital para el dispositivo NoKe en corporativo.
*07892#
Recordando amablemente que el código es personal e intransferible.
&lt;&lt;Te agradecemos nos confirmes la recepción del código | Adjunto encontraremos los manuales de acceso NoKe&gt;&gt;
Atentamente:
Equipo de TI.</t>
  </si>
  <si>
    <t>Buen día Cristobal
Reenviamos el código de acceso digital para el dispositivo NoKe en corporativo.
*03114#
Recordando amablemente que el código es personal e intransferible.
&lt;&lt;Te agradecemos nos confirmes la recepción del código | Adjunto encontraremos los manuales de acceso NoKe&gt;&gt;
Atentamente:
Equipo de TI.</t>
  </si>
  <si>
    <t>Buen día Jose Antonio
Reenviamos el código de acceso digital para el dispositivo NoKe en corporativo.
*07148#
Recordando amablemente que el código es personal e intransferible.
&lt;&lt;Te agradecemos nos confirmes la recepción del código | Adjunto encontraremos los manuales de acceso NoKe&gt;&gt;
Atentamente:
Equipo de TI.</t>
  </si>
  <si>
    <t>Buen día Miguel
Reenviamos el código de acceso digital para el dispositivo NoKe en corporativo.
*07151#
Recordando amablemente que el código es personal e intransferible.
&lt;&lt;Te agradecemos nos confirmes la recepción del código | Adjunto encontraremos los manuales de acceso NoKe&gt;&gt;
Atentamente:
Equipo de TI.</t>
  </si>
  <si>
    <t>Buen día Diego
Reenviamos el código de acceso digital para el dispositivo NoKe en corporativo.
*81157#
Recordando amablemente que el código es personal e intransferible.
&lt;&lt;Te agradecemos nos confirmes la recepción del código | Adjunto encontraremos los manuales de acceso NoKe&gt;&gt;
Atentamente:
Equipo de TI.</t>
  </si>
  <si>
    <t>Buen día Ricardo
Reenviamos el código de acceso digital para el dispositivo NoKe en corporativo.
*03177#
Recordando amablemente que el código es personal e intransferible.
&lt;&lt;Te agradecemos nos confirmes la recepción del código | Adjunto encontraremos los manuales de acceso NoKe&gt;&gt;
Atentamente:
Equipo de TI.</t>
  </si>
  <si>
    <t>Buen día Felipe
Reenviamos el código de acceso digital para el dispositivo NoKe en corporativo.
*03186#
Recordando amablemente que el código es personal e intransferible.
&lt;&lt;Te agradecemos nos confirmes la recepción del código | Adjunto encontraremos los manuales de acceso NoKe&gt;&gt;
Atentamente:
Equipo de TI.</t>
  </si>
  <si>
    <t>Buen día Carlos
Reenviamos el código de acceso digital para el dispositivo NoKe en corporativo.
*04217#
Recordando amablemente que el código es personal e intransferible.
&lt;&lt;Te agradecemos nos confirmes la recepción del código | Adjunto encontraremos los manuales de acceso NoKe&gt;&gt;
Atentamente:
Equipo de TI.</t>
  </si>
  <si>
    <t>Buen día Elizabeth
Reenviamos el código de acceso digital para el dispositivo NoKe en corporativo.
*03224#
Recordando amablemente que el código es personal e intransferible.
&lt;&lt;Te agradecemos nos confirmes la recepción del código | Adjunto encontraremos los manuales de acceso NoKe&gt;&gt;
Atentamente:
Equipo de TI.</t>
  </si>
  <si>
    <t>Buen día Alejandro
Reenviamos el código de acceso digital para el dispositivo NoKe en corporativo.
*02236#
Recordando amablemente que el código es personal e intransferible.
&lt;&lt;Te agradecemos nos confirmes la recepción del código | Adjunto encontraremos los manuales de acceso NoKe&gt;&gt;
Atentamente:
Equipo de TI.</t>
  </si>
  <si>
    <t>Buen día Michel
Reenviamos el código de acceso digital para el dispositivo NoKe en corporativo.
*04237#
Recordando amablemente que el código es personal e intransferible.
&lt;&lt;Te agradecemos nos confirmes la recepción del código | Adjunto encontraremos los manuales de acceso NoKe&gt;&gt;
Atentamente:
Equipo de TI.</t>
  </si>
  <si>
    <t>Buen día Mayra
Reenviamos el código de acceso digital para el dispositivo NoKe en corporativo.
*04255#
Recordando amablemente que el código es personal e intransferible.
&lt;&lt;Te agradecemos nos confirmes la recepción del código | Adjunto encontraremos los manuales de acceso NoKe&gt;&gt;
Atentamente:
Equipo de TI.</t>
  </si>
  <si>
    <t>Buen día Nidia
Reenviamos el código de acceso digital para el dispositivo NoKe en corporativo.
*07260#
Recordando amablemente que el código es personal e intransferible.
&lt;&lt;Te agradecemos nos confirmes la recepción del código | Adjunto encontraremos los manuales de acceso NoKe&gt;&gt;
Atentamente:
Equipo de TI.</t>
  </si>
  <si>
    <t>Buen día Miguel
Reenviamos el código de acceso digital para el dispositivo NoKe en corporativo.
*01261#
Recordando amablemente que el código es personal e intransferible.
&lt;&lt;Te agradecemos nos confirmes la recepción del código | Adjunto encontraremos los manuales de acceso NoKe&gt;&gt;
Atentamente:
Equipo de TI.</t>
  </si>
  <si>
    <t>Buen día Jaime
Reenviamos el código de acceso digital para el dispositivo NoKe en corporativo.
*04265#
Recordando amablemente que el código es personal e intransferible.
&lt;&lt;Te agradecemos nos confirmes la recepción del código | Adjunto encontraremos los manuales de acceso NoKe&gt;&gt;
Atentamente:
Equipo de TI.</t>
  </si>
  <si>
    <t>Buen día Francisco
Reenviamos el código de acceso digital para el dispositivo NoKe en corporativo.
*04283#
Recordando amablemente que el código es personal e intransferible.
&lt;&lt;Te agradecemos nos confirmes la recepción del código | Adjunto encontraremos los manuales de acceso NoKe&gt;&gt;
Atentamente:
Equipo de TI.</t>
  </si>
  <si>
    <t>Buen día Rene
Reenviamos el código de acceso digital para el dispositivo NoKe en corporativo.
*04289#
Recordando amablemente que el código es personal e intransferible.
&lt;&lt;Te agradecemos nos confirmes la recepción del código | Adjunto encontraremos los manuales de acceso NoKe&gt;&gt;
Atentamente:
Equipo de TI.</t>
  </si>
  <si>
    <t>Buen día Fausto
Reenviamos el código de acceso digital para el dispositivo NoKe en corporativo.
*04290#
Recordando amablemente que el código es personal e intransferible.
&lt;&lt;Te agradecemos nos confirmes la recepción del código | Adjunto encontraremos los manuales de acceso NoKe&gt;&gt;
Atentamente:
Equipo de TI.</t>
  </si>
  <si>
    <t>Buen día Armando
Reenviamos el código de acceso digital para el dispositivo NoKe en corporativo.
*03310#
Recordando amablemente que el código es personal e intransferible.
&lt;&lt;Te agradecemos nos confirmes la recepción del código | Adjunto encontraremos los manuales de acceso NoKe&gt;&gt;
Atentamente:
Equipo de TI.</t>
  </si>
  <si>
    <t>Buen día Oscar
Reenviamos el código de acceso digital para el dispositivo NoKe en corporativo.
*03331#
Recordando amablemente que el código es personal e intransferible.
&lt;&lt;Te agradecemos nos confirmes la recepción del código | Adjunto encontraremos los manuales de acceso NoKe&gt;&gt;
Atentamente:
Equipo de TI.</t>
  </si>
  <si>
    <t>Buen día Fernando
Reenviamos el código de acceso digital para el dispositivo NoKe en corporativo.
*06335#
Recordando amablemente que el código es personal e intransferible.
&lt;&lt;Te agradecemos nos confirmes la recepción del código | Adjunto encontraremos los manuales de acceso NoKe&gt;&gt;
Atentamente:
Equipo de TI.</t>
  </si>
  <si>
    <t>Buen día Mayra
Reenviamos el código de acceso digital para el dispositivo NoKe en corporativo.
*07338#
Recordando amablemente que el código es personal e intransferible.
&lt;&lt;Te agradecemos nos confirmes la recepción del código | Adjunto encontraremos los manuales de acceso NoKe&gt;&gt;
Atentamente:
Equipo de TI.</t>
  </si>
  <si>
    <t>Buen día Eduardo
Reenviamos el código de acceso digital para el dispositivo NoKe en corporativo.
*08342#
Recordando amablemente que el código es personal e intransferible.
&lt;&lt;Te agradecemos nos confirmes la recepción del código | Adjunto encontraremos los manuales de acceso NoKe&gt;&gt;
Atentamente:
Equipo de TI.</t>
  </si>
  <si>
    <t>Buen día Gaspar
Reenviamos el código de acceso digital para el dispositivo NoKe en corporativo.
*04344#
Recordando amablemente que el código es personal e intransferible.
&lt;&lt;Te agradecemos nos confirmes la recepción del código | Adjunto encontraremos los manuales de acceso NoKe&gt;&gt;
Atentamente:
Equipo de TI.</t>
  </si>
  <si>
    <t>Buen día Eduardo
Reenviamos el código de acceso digital para el dispositivo NoKe en corporativo.
*04346#
Recordando amablemente que el código es personal e intransferible.
&lt;&lt;Te agradecemos nos confirmes la recepción del código | Adjunto encontraremos los manuales de acceso NoKe&gt;&gt;
Atentamente:
Equipo de TI.</t>
  </si>
  <si>
    <t>Buen día Saul
Reenviamos el código de acceso digital para el dispositivo NoKe en corporativo.
*01356#
Recordando amablemente que el código es personal e intransferible.
&lt;&lt;Te agradecemos nos confirmes la recepción del código | Adjunto encontraremos los manuales de acceso NoKe&gt;&gt;
Atentamente:
Equipo de TI.</t>
  </si>
  <si>
    <t>Buen día Harumi
Reenviamos el código de acceso digital para el dispositivo NoKe en corporativo.
*05359#
Recordando amablemente que el código es personal e intransferible.
&lt;&lt;Te agradecemos nos confirmes la recepción del código | Adjunto encontraremos los manuales de acceso NoKe&gt;&gt;
Atentamente:
Equipo de TI.</t>
  </si>
  <si>
    <t>Buen día Paulina
Reenviamos el código de acceso digital para el dispositivo NoKe en corporativo.
*07367#
Recordando amablemente que el código es personal e intransferible.
&lt;&lt;Te agradecemos nos confirmes la recepción del código | Adjunto encontraremos los manuales de acceso NoKe&gt;&gt;
Atentamente:
Equipo de TI.</t>
  </si>
  <si>
    <t>Buen día Brenda
Reenviamos el código de acceso digital para el dispositivo NoKe en corporativo.
*92398#
Recordando amablemente que el código es personal e intransferible.
&lt;&lt;Te agradecemos nos confirmes la recepción del código | Adjunto encontraremos los manuales de acceso NoKe&gt;&gt;
Atentamente:
Equipo de TI.</t>
  </si>
  <si>
    <t>Buen día Alejandro
Reenviamos el código de acceso digital para el dispositivo NoKe en corporativo.
*03402#
Recordando amablemente que el código es personal e intransferible.
&lt;&lt;Te agradecemos nos confirmes la recepción del código | Adjunto encontraremos los manuales de acceso NoKe&gt;&gt;
Atentamente:
Equipo de TI.</t>
  </si>
  <si>
    <t>Buen día Alejandro
Reenviamos el código de acceso digital para el dispositivo NoKe en corporativo.
*07415#
Recordando amablemente que el código es personal e intransferible.
&lt;&lt;Te agradecemos nos confirmes la recepción del código | Adjunto encontraremos los manuales de acceso NoKe&gt;&gt;
Atentamente:
Equipo de TI.</t>
  </si>
  <si>
    <t>Buen día Daniel
Reenviamos el código de acceso digital para el dispositivo NoKe en corporativo.
*07424#
Recordando amablemente que el código es personal e intransferible.
&lt;&lt;Te agradecemos nos confirmes la recepción del código | Adjunto encontraremos los manuales de acceso NoKe&gt;&gt;
Atentamente:
Equipo de TI.</t>
  </si>
  <si>
    <t>Buen día Sandra
Reenviamos el código de acceso digital para el dispositivo NoKe en corporativo.
*07434#
Recordando amablemente que el código es personal e intransferible.
&lt;&lt;Te agradecemos nos confirmes la recepción del código | Adjunto encontraremos los manuales de acceso NoKe&gt;&gt;
Atentamente:
Equipo de TI.</t>
  </si>
  <si>
    <t>Buen día Jonathan
Reenviamos el código de acceso digital para el dispositivo NoKe en corporativo.
*07437#
Recordando amablemente que el código es personal e intransferible.
&lt;&lt;Te agradecemos nos confirmes la recepción del código | Adjunto encontraremos los manuales de acceso NoKe&gt;&gt;
Atentamente:
Equipo de TI.</t>
  </si>
  <si>
    <t>Buen día Julia
Reenviamos el código de acceso digital para el dispositivo NoKe en corporativo.
*07439#
Recordando amablemente que el código es personal e intransferible.
&lt;&lt;Te agradecemos nos confirmes la recepción del código | Adjunto encontraremos los manuales de acceso NoKe&gt;&gt;
Atentamente:
Equipo de TI.</t>
  </si>
  <si>
    <t>Buen día Ezequiel
Reenviamos el código de acceso digital para el dispositivo NoKe en corporativo.
*07441#
Recordando amablemente que el código es personal e intransferible.
&lt;&lt;Te agradecemos nos confirmes la recepción del código | Adjunto encontraremos los manuales de acceso NoKe&gt;&gt;
Atentamente:
Equipo de TI.</t>
  </si>
  <si>
    <t>Buen día Eugenio
Reenviamos el código de acceso digital para el dispositivo NoKe en corporativo.
*07444#
Recordando amablemente que el código es personal e intransferible.
&lt;&lt;Te agradecemos nos confirmes la recepción del código | Adjunto encontraremos los manuales de acceso NoKe&gt;&gt;
Atentamente:
Equipo de TI.</t>
  </si>
  <si>
    <t>Buen día Maribel
Reenviamos el código de acceso digital para el dispositivo NoKe en corporativo.
*07457#
Recordando amablemente que el código es personal e intransferible.
&lt;&lt;Te agradecemos nos confirmes la recepción del código | Adjunto encontraremos los manuales de acceso NoKe&gt;&gt;
Atentamente:
Equipo de TI.</t>
  </si>
  <si>
    <t>Buen día Sergio
Reenviamos el código de acceso digital para el dispositivo NoKe en corporativo.
*07458#
Recordando amablemente que el código es personal e intransferible.
&lt;&lt;Te agradecemos nos confirmes la recepción del código | Adjunto encontraremos los manuales de acceso NoKe&gt;&gt;
Atentamente:
Equipo de TI.</t>
  </si>
  <si>
    <t>Buen día Mariana
Reenviamos el código de acceso digital para el dispositivo NoKe en corporativo.
*03463#
Recordando amablemente que el código es personal e intransferible.
&lt;&lt;Te agradecemos nos confirmes la recepción del código | Adjunto encontraremos los manuales de acceso NoKe&gt;&gt;
Atentamente:
Equipo de TI.</t>
  </si>
  <si>
    <t>Buen día Luis
Reenviamos el código de acceso digital para el dispositivo NoKe en corporativo.
*07531#
Recordando amablemente que el código es personal e intransferible.
&lt;&lt;Te agradecemos nos confirmes la recepción del código | Adjunto encontraremos los manuales de acceso NoKe&gt;&gt;
Atentamente:
Equipo de TI.</t>
  </si>
  <si>
    <t>Buen día Carlos
Reenviamos el código de acceso digital para el dispositivo NoKe en corporativo.
*03556#
Recordando amablemente que el código es personal e intransferible.
&lt;&lt;Te agradecemos nos confirmes la recepción del código | Adjunto encontraremos los manuales de acceso NoKe&gt;&gt;
Atentamente:
Equipo de TI.</t>
  </si>
  <si>
    <t>Buen día Guadalupe
Reenviamos el código de acceso digital para el dispositivo NoKe en corporativo.
*03563#
Recordando amablemente que el código es personal e intransferible.
&lt;&lt;Te agradecemos nos confirmes la recepción del código | Adjunto encontraremos los manuales de acceso NoKe&gt;&gt;
Atentamente:
Equipo de TI.</t>
  </si>
  <si>
    <t>Buen día Luis
Reenviamos el código de acceso digital para el dispositivo NoKe en corporativo.
*03590#
Recordando amablemente que el código es personal e intransferible.
&lt;&lt;Te agradecemos nos confirmes la recepción del código | Adjunto encontraremos los manuales de acceso NoKe&gt;&gt;
Atentamente:
Equipo de TI.</t>
  </si>
  <si>
    <t>Buen día Carlos
Reenviamos el código de acceso digital para el dispositivo NoKe en corporativo.
*07613#
Recordando amablemente que el código es personal e intransferible.
&lt;&lt;Te agradecemos nos confirmes la recepción del código | Adjunto encontraremos los manuales de acceso NoKe&gt;&gt;
Atentamente:
Equipo de TI.</t>
  </si>
  <si>
    <t>Buen día Carolina
Reenviamos el código de acceso digital para el dispositivo NoKe en corporativo.
*07656#
Recordando amablemente que el código es personal e intransferible.
&lt;&lt;Te agradecemos nos confirmes la recepción del código | Adjunto encontraremos los manuales de acceso NoKe&gt;&gt;
Atentamente:
Equipo de TI.</t>
  </si>
  <si>
    <t>Buen día Theo
Reenviamos el código de acceso digital para el dispositivo NoKe en corporativo.
*06658#
Recordando amablemente que el código es personal e intransferible.
&lt;&lt;Te agradecemos nos confirmes la recepción del código | Adjunto encontraremos los manuales de acceso NoKe&gt;&gt;
Atentamente:
Equipo de TI.</t>
  </si>
  <si>
    <t>Buen día Veronica
Reenviamos el código de acceso digital para el dispositivo NoKe en corporativo.
*82667#
Recordando amablemente que el código es personal e intransferible.
&lt;&lt;Te agradecemos nos confirmes la recepción del código | Adjunto encontraremos los manuales de acceso NoKe&gt;&gt;
Atentamente:
Equipo de TI.</t>
  </si>
  <si>
    <t>Buen día Jaime
Reenviamos el código de acceso digital para el dispositivo NoKe en corporativo.
*03680#
Recordando amablemente que el código es personal e intransferible.
&lt;&lt;Te agradecemos nos confirmes la recepción del código | Adjunto encontraremos los manuales de acceso NoKe&gt;&gt;
Atentamente:
Equipo de TI.</t>
  </si>
  <si>
    <t>Buen día Hugo
Reenviamos el código de acceso digital para el dispositivo NoKe en corporativo.
*07732#
Recordando amablemente que el código es personal e intransferible.
&lt;&lt;Te agradecemos nos confirmes la recepción del código | Adjunto encontraremos los manuales de acceso NoKe&gt;&gt;
Atentamente:
Equipo de TI.</t>
  </si>
  <si>
    <t>Buen día Israel
Reenviamos el código de acceso digital para el dispositivo NoKe en corporativo.
*05735#
Recordando amablemente que el código es personal e intransferible.
&lt;&lt;Te agradecemos nos confirmes la recepción del código | Adjunto encontraremos los manuales de acceso NoKe&gt;&gt;
Atentamente:
Equipo de TI.</t>
  </si>
  <si>
    <t>Buen día Magaly
Reenviamos el código de acceso digital para el dispositivo NoKe en corporativo.
*05736#
Recordando amablemente que el código es personal e intransferible.
&lt;&lt;Te agradecemos nos confirmes la recepción del código | Adjunto encontraremos los manuales de acceso NoKe&gt;&gt;
Atentamente:
Equipo de TI.</t>
  </si>
  <si>
    <t>Buen día Faridi
Reenviamos el código de acceso digital para el dispositivo NoKe en corporativo.
*02791#
Recordando amablemente que el código es personal e intransferible.
&lt;&lt;Te agradecemos nos confirmes la recepción del código | Adjunto encontraremos los manuales de acceso NoKe&gt;&gt;
Atentamente:
Equipo de TI.</t>
  </si>
  <si>
    <t>Buen día Eduardo
Reenviamos el código de acceso digital para el dispositivo NoKe en corporativo.
*04794#
Recordando amablemente que el código es personal e intransferible.
&lt;&lt;Te agradecemos nos confirmes la recepción del código | Adjunto encontraremos los manuales de acceso NoKe&gt;&gt;
Atentamente:
Equipo de TI.</t>
  </si>
  <si>
    <t>Buen día karen
Reenviamos el código de acceso digital para el dispositivo NoKe en corporativo.
*69437#
Recordando amablemente que el código es personal e intransferible.
&lt;&lt;Te agradecemos nos confirmes la recepción del código | Adjunto encontraremos los manuales de acceso NoKe&gt;&gt;
Atentamente:
Equipo de TI.</t>
  </si>
  <si>
    <t>Buen día Fernanda
Reenviamos el código de acceso digital para el dispositivo NoKe en corporativo.
*00597#
Recordando amablemente que el código es personal e intransferible.
&lt;&lt;Te agradecemos nos confirmes la recepción del código | Adjunto encontraremos los manuales de acceso NoKe&gt;&gt;
Atentamente:
Equipo de TI.</t>
  </si>
  <si>
    <t>Buen día Alfonso
Hacemos el reenvío del código de acceso para el dispositivo NoKe a corporativo, con la intención de asegurar se tenga en cuenta para nuestro acceso a oficinas.
*03456#
Recordamos amablemente que el código es personal e intransferible.
&lt;&lt;Adjunto encontraremos los manuales de acceso NoKe&gt;&gt;
Atentamente:
Equipo de TI.</t>
  </si>
  <si>
    <t>Buen día Luis
Hacemos el reenvío del código de acceso para el dispositivo NoKe a corporativo, con la intención de asegurar se tenga en cuenta para nuestro acceso a oficinas.
*07218#
Recordamos amablemente que el código es personal e intransferible.
&lt;&lt;Adjunto encontraremos los manuales de acceso NoKe&gt;&gt;
Atentamente:
Equipo de TI.</t>
  </si>
  <si>
    <t>Buen día Benjamin
Hacemos el reenvío del código de acceso para el dispositivo NoKe a corporativo, con la intención de asegurar se tenga en cuenta para nuestro acceso a oficinas.
*06272#
Recordamos amablemente que el código es personal e intransferible.
&lt;&lt;Adjunto encontraremos los manuales de acceso NoKe&gt;&gt;
Atentamente:
Equipo de TI.</t>
  </si>
  <si>
    <t>Buen día Brenda
Hacemos el reenvío del código de acceso para el dispositivo NoKe a corporativo, con la intención de asegurar se tenga en cuenta para nuestro acceso a oficinas.
*06461#
Recordamos amablemente que el código es personal e intransferible.
&lt;&lt;Adjunto encontraremos los manuales de acceso NoKe&gt;&gt;
Atentamente:
Equipo de TI.</t>
  </si>
  <si>
    <t>Buen día Carlos
Hacemos el reenvío del código de acceso para el dispositivo NoKe a corporativo, con la intención de asegurar se tenga en cuenta para nuestro acceso a oficinas.
*04122#
Recordamos amablemente que el código es personal e intransferible.
&lt;&lt;Adjunto encontraremos los manuales de acceso NoKe&gt;&gt;
Atentamente:
Equipo de TI.</t>
  </si>
  <si>
    <t>Buen día Pamela
Hacemos el reenvío del código de acceso para el dispositivo NoKe a corporativo, con la intención de asegurar se tenga en cuenta para nuestro acceso a oficinas.
*07428#
Recordamos amablemente que el código es personal e intransferible.
&lt;&lt;Adjunto encontraremos los manuales de acceso NoKe&gt;&gt;
Atentamente:
Equipo de TI.</t>
  </si>
  <si>
    <t>Buen día Diana
Hacemos el reenvío del código de acceso para el dispositivo NoKe a corporativo, con la intención de asegurar se tenga en cuenta para nuestro acceso a oficinas.
*05296#
Recordamos amablemente que el código es personal e intransferible.
&lt;&lt;Adjunto encontraremos los manuales de acceso NoKe&gt;&gt;
Atentamente:
Equipo de TI.</t>
  </si>
  <si>
    <t>Buen día Elizabeth
Hacemos el reenvío del código de acceso para el dispositivo NoKe a corporativo, con la intención de asegurar se tenga en cuenta para nuestro acceso a oficinas.
*07145#
Recordamos amablemente que el código es personal e intransferible.
&lt;&lt;Adjunto encontraremos los manuales de acceso NoKe&gt;&gt;
Atentamente:
Equipo de TI.</t>
  </si>
  <si>
    <t>Buen día Miriam
Hacemos el reenvío del código de acceso para el dispositivo NoKe a corporativo, con la intención de asegurar se tenga en cuenta para nuestro acceso a oficinas.
*07454#
Recordamos amablemente que el código es personal e intransferible.
&lt;&lt;Adjunto encontraremos los manuales de acceso NoKe&gt;&gt;
Atentamente:
Equipo de TI.</t>
  </si>
  <si>
    <t>Buen día Pilar
Hacemos el reenvío del código de acceso para el dispositivo NoKe a corporativo, con la intención de asegurar se tenga en cuenta para nuestro acceso a oficinas.
*02786#
Recordamos amablemente que el código es personal e intransferible.
&lt;&lt;Adjunto encontraremos los manuales de acceso NoKe&gt;&gt;
Atentamente:
Equipo de TI.</t>
  </si>
  <si>
    <t>Buen día Adri
Solicitamos de su ayuda para confirmar la recepción de este correo.
Reenviamos el código de acceso digital para el dispositivo NoKe en corporativo.
*04255#
Recordando amablemente que el código es personal e intransferible.
&lt;&lt;Te agradecemos nos confirmes la recepción del código | Adjunto encontraremos los manuales de acceso NoKe&gt;&gt;
Atentamente:
Equipo de TI.</t>
  </si>
  <si>
    <t>Buen día Carolina
Solicitamos de su ayuda para confirmar la recepción de este correo.
Reenviamos el código de acceso digital para el dispositivo NoKe en corporativo.
*07656#
Recordando amablemente que el código es personal e intransferible.
&lt;&lt;Te agradecemos nos confirmes la recepción del código | Adjunto encontraremos los manuales de acceso NoKe&gt;&gt;
Atentamente:
Equipo de TI.</t>
  </si>
  <si>
    <t>Buen día Cristobal
Solicitamos de su ayuda para confirmar la recepción de este correo.
Reenviamos el código de acceso digital para el dispositivo NoKe en corporativo.
*03114#
Recordando amablemente que el código es personal e intransferible.
&lt;&lt;Te agradecemos nos confirmes la recepción del código | Adjunto encontraremos los manuales de acceso NoKe&gt;&gt;
Atentamente:
Equipo de TI.</t>
  </si>
  <si>
    <t>Buen día Carlos
Solicitamos de su ayuda para confirmar la recepción de este correo.
Reenviamos el código de acceso digital para el dispositivo NoKe en corporativo.
*07613#
Recordando amablemente que el código es personal e intransferible.
&lt;&lt;Te agradecemos nos confirmes la recepción del código | Adjunto encontraremos los manuales de acceso NoKe&gt;&gt;
Atentamente:
Equipo de TI.</t>
  </si>
  <si>
    <t>Buen día Carlos
Solicitamos de su ayuda para confirmar la recepción de este correo.
Reenviamos el código de acceso digital para el dispositivo NoKe en corporativo.
*03556#
Recordando amablemente que el código es personal e intransferible.
&lt;&lt;Te agradecemos nos confirmes la recepción del código | Adjunto encontraremos los manuales de acceso NoKe&gt;&gt;
Atentamente:
Equipo de TI.</t>
  </si>
  <si>
    <t>Buen día Daniel
Solicitamos de su ayuda para confirmar la recepción de este correo.
Reenviamos el código de acceso digital para el dispositivo NoKe en corporativo.
*07424#
Recordando amablemente que el código es personal e intransferible.
&lt;&lt;Te agradecemos nos confirmes la recepción del código | Adjunto encontraremos los manuales de acceso NoKe&gt;&gt;
Atentamente:
Equipo de TI.</t>
  </si>
  <si>
    <t>Buen día Elizabeth
Solicitamos de su ayuda para confirmar la recepción de este correo.
Reenviamos el código de acceso digital para el dispositivo NoKe en corporativo.
*03224#
Recordando amablemente que el código es personal e intransferible.
&lt;&lt;Te agradecemos nos confirmes la recepción del código | Adjunto encontraremos los manuales de acceso NoKe&gt;&gt;
Atentamente:
Equipo de TI.</t>
  </si>
  <si>
    <t>Buen día Diego
Solicitamos de su ayuda para confirmar la recepción de este correo.
Reenviamos el código de acceso digital para el dispositivo NoKe en corporativo.
*81157#
Recordando amablemente que el código es personal e intransferible.
&lt;&lt;Te agradecemos nos confirmes la recepción del código | Adjunto encontraremos los manuales de acceso NoKe&gt;&gt;
Atentamente:
Equipo de TI.</t>
  </si>
  <si>
    <t>Buen día Eduardo
Solicitamos de su ayuda para confirmar la recepción de este correo.
Reenviamos el código de acceso digital para el dispositivo NoKe en corporativo.
*04346#
Recordando amablemente que el código es personal e intransferible.
&lt;&lt;Te agradecemos nos confirmes la recepción del código | Adjunto encontraremos los manuales de acceso NoKe&gt;&gt;
Atentamente:
Equipo de TI.</t>
  </si>
  <si>
    <t>Buen día Ezequiel
Solicitamos de su ayuda para confirmar la recepción de este correo.
Reenviamos el código de acceso digital para el dispositivo NoKe en corporativo.
*07441#
Recordando amablemente que el código es personal e intransferible.
&lt;&lt;Te agradecemos nos confirmes la recepción del código | Adjunto encontraremos los manuales de acceso NoKe&gt;&gt;
Atentamente:
Equipo de TI.</t>
  </si>
  <si>
    <t>Buen día Fernanda
Solicitamos de su ayuda para confirmar la recepción de este correo.
Reenviamos el código de acceso digital para el dispositivo NoKe en corporativo.
*00597#
Recordando amablemente que el código es personal e intransferible.
&lt;&lt;Te agradecemos nos confirmes la recepción del código | Adjunto encontraremos los manuales de acceso NoKe&gt;&gt;
Atentamente:
Equipo de TI.</t>
  </si>
  <si>
    <t>Buen día Felipe
Solicitamos de su ayuda para confirmar la recepción de este correo.
Reenviamos el código de acceso digital para el dispositivo NoKe en corporativo.
*03186#
Recordando amablemente que el código es personal e intransferible.
&lt;&lt;Te agradecemos nos confirmes la recepción del código | Adjunto encontraremos los manuales de acceso NoKe&gt;&gt;
Atentamente:
Equipo de TI.</t>
  </si>
  <si>
    <t>Buen día Francisco
Solicitamos de su ayuda para confirmar la recepción de este correo.
Reenviamos el código de acceso digital para el dispositivo NoKe en corporativo.
*04283#
Recordando amablemente que el código es personal e intransferible.
&lt;&lt;Te agradecemos nos confirmes la recepción del código | Adjunto encontraremos los manuales de acceso NoKe&gt;&gt;
Atentamente:
Equipo de TI.</t>
  </si>
  <si>
    <t>Buen día Fausto
Solicitamos de su ayuda para confirmar la recepción de este correo.
Reenviamos el código de acceso digital para el dispositivo NoKe en corporativo.
*04290#
Recordando amablemente que el código es personal e intransferible.
&lt;&lt;Te agradecemos nos confirmes la recepción del código | Adjunto encontraremos los manuales de acceso NoKe&gt;&gt;
Atentamente:
Equipo de TI.</t>
  </si>
  <si>
    <t>Buen día Faridi
Solicitamos de su ayuda para confirmar la recepción de este correo.
Reenviamos el código de acceso digital para el dispositivo NoKe en corporativo.
*02791#
Recordando amablemente que el código es personal e intransferible.
&lt;&lt;Te agradecemos nos confirmes la recepción del código | Adjunto encontraremos los manuales de acceso NoKe&gt;&gt;
Atentamente:
Equipo de TI.</t>
  </si>
  <si>
    <t>Buen día Fernando
Solicitamos de su ayuda para confirmar la recepción de este correo.
Reenviamos el código de acceso digital para el dispositivo NoKe en corporativo.
*06335#
Recordando amablemente que el código es personal e intransferible.
&lt;&lt;Te agradecemos nos confirmes la recepción del código | Adjunto encontraremos los manuales de acceso NoKe&gt;&gt;
Atentamente:
Equipo de TI.</t>
  </si>
  <si>
    <t>Buen día Guadalupe
Solicitamos de su ayuda para confirmar la recepción de este correo.
Reenviamos el código de acceso digital para el dispositivo NoKe en corporativo.
*03563#
Recordando amablemente que el código es personal e intransferible.
&lt;&lt;Te agradecemos nos confirmes la recepción del código | Adjunto encontraremos los manuales de acceso NoKe&gt;&gt;
Atentamente:
Equipo de TI.</t>
  </si>
  <si>
    <t>Buen día Gaspar
Solicitamos de su ayuda para confirmar la recepción de este correo.
Reenviamos el código de acceso digital para el dispositivo NoKe en corporativo.
*04344#
Recordando amablemente que el código es personal e intransferible.
&lt;&lt;Te agradecemos nos confirmes la recepción del código | Adjunto encontraremos los manuales de acceso NoKe&gt;&gt;
Atentamente:
Equipo de TI.</t>
  </si>
  <si>
    <t>Buen día Alejandro
Solicitamos de su ayuda para confirmar la recepción de este correo.
Reenviamos el código de acceso digital para el dispositivo NoKe en corporativo.
*03402#
Recordando amablemente que el código es personal e intransferible.
&lt;&lt;Te agradecemos nos confirmes la recepción del código | Adjunto encontraremos los manuales de acceso NoKe&gt;&gt;
Atentamente:
Equipo de TI.</t>
  </si>
  <si>
    <t>Buen día Eduardo
Solicitamos de su ayuda para confirmar la recepción de este correo.
Reenviamos el código de acceso digital para el dispositivo NoKe en corporativo.
*04794#
Recordando amablemente que el código es personal e intransferible.
&lt;&lt;Te agradecemos nos confirmes la recepción del código | Adjunto encontraremos los manuales de acceso NoKe&gt;&gt;
Atentamente:
Equipo de TI.</t>
  </si>
  <si>
    <t>Buen día Jaime
Solicitamos de su ayuda para confirmar la recepción de este correo.
Reenviamos el código de acceso digital para el dispositivo NoKe en corporativo.
*04265#
Recordando amablemente que el código es personal e intransferible.
&lt;&lt;Te agradecemos nos confirmes la recepción del código | Adjunto encontraremos los manuales de acceso NoKe&gt;&gt;
Atentamente:
Equipo de TI.</t>
  </si>
  <si>
    <t>Buen día Julia
Solicitamos de su ayuda para confirmar la recepción de este correo.
Reenviamos el código de acceso digital para el dispositivo NoKe en corporativo.
*07439#
Recordando amablemente que el código es personal e intransferible.
&lt;&lt;Te agradecemos nos confirmes la recepción del código | Adjunto encontraremos los manuales de acceso NoKe&gt;&gt;
Atentamente:
Equipo de TI.</t>
  </si>
  <si>
    <t>Buen día Jose
Solicitamos de su ayuda para confirmar la recepción de este correo.
Reenviamos el código de acceso digital para el dispositivo NoKe en corporativo.
*07892#
Recordando amablemente que el código es personal e intransferible.
&lt;&lt;Te agradecemos nos confirmes la recepción del código | Adjunto encontraremos los manuales de acceso NoKe&gt;&gt;
Atentamente:
Equipo de TI.</t>
  </si>
  <si>
    <t>Buen día Jose Antonio
Solicitamos de su ayuda para confirmar la recepción de este correo.
Reenviamos el código de acceso digital para el dispositivo NoKe en corporativo.
*07148#
Recordando amablemente que el código es personal e intransferible.
&lt;&lt;Te agradecemos nos confirmes la recepción del código | Adjunto encontraremos los manuales de acceso NoKe&gt;&gt;
Atentamente:
Equipo de TI.</t>
  </si>
  <si>
    <t>Buen día Eugenio
Solicitamos de su ayuda para confirmar la recepción de este correo.
Reenviamos el código de acceso digital para el dispositivo NoKe en corporativo.
*07444#
Recordando amablemente que el código es personal e intransferible.
&lt;&lt;Te agradecemos nos confirmes la recepción del código | Adjunto encontraremos los manuales de acceso NoKe&gt;&gt;
Atentamente:
Equipo de TI.</t>
  </si>
  <si>
    <t>Buen día Miguel
Solicitamos de su ayuda para confirmar la recepción de este correo.
Reenviamos el código de acceso digital para el dispositivo NoKe en corporativo.
*01261#
Recordando amablemente que el código es personal e intransferible.
&lt;&lt;Te agradecemos nos confirmes la recepción del código | Adjunto encontraremos los manuales de acceso NoKe&gt;&gt;
Atentamente:
Equipo de TI.</t>
  </si>
  <si>
    <t>Buen día Carlos
Solicitamos de su ayuda para confirmar la recepción de este correo.
Reenviamos el código de acceso digital para el dispositivo NoKe en corporativo.
*04217#
Recordando amablemente que el código es personal e intransferible.
&lt;&lt;Te agradecemos nos confirmes la recepción del código | Adjunto encontraremos los manuales de acceso NoKe&gt;&gt;
Atentamente:
Equipo de TI.</t>
  </si>
  <si>
    <t>Buen día Mariana
Solicitamos de su ayuda para confirmar la recepción de este correo.
Reenviamos el código de acceso digital para el dispositivo NoKe en corporativo.
*03463#
Recordando amablemente que el código es personal e intransferible.
&lt;&lt;Te agradecemos nos confirmes la recepción del código | Adjunto encontraremos los manuales de acceso NoKe&gt;&gt;
Atentamente:
Equipo de TI.</t>
  </si>
  <si>
    <t>Buen día Magaly
Solicitamos de su ayuda para confirmar la recepción de este correo.
Reenviamos el código de acceso digital para el dispositivo NoKe en corporativo.
*05736#
Recordando amablemente que el código es personal e intransferible.
&lt;&lt;Te agradecemos nos confirmes la recepción del código | Adjunto encontraremos los manuales de acceso NoKe&gt;&gt;
Atentamente:
Equipo de TI.</t>
  </si>
  <si>
    <t>Buen día Nidia
Solicitamos de su ayuda para confirmar la recepción de este correo.
Reenviamos el código de acceso digital para el dispositivo NoKe en corporativo.
*07260#
Recordando amablemente que el código es personal e intransferible.
&lt;&lt;Te agradecemos nos confirmes la recepción del código | Adjunto encontraremos los manuales de acceso NoKe&gt;&gt;
Atentamente:
Equipo de TI.</t>
  </si>
  <si>
    <t>Buen día Sandra
Solicitamos de su ayuda para confirmar la recepción de este correo.
Reenviamos el código de acceso digital para el dispositivo NoKe en corporativo.
*07434#
Recordando amablemente que el código es personal e intransferible.
&lt;&lt;Te agradecemos nos confirmes la recepción del código | Adjunto encontraremos los manuales de acceso NoKe&gt;&gt;
Atentamente:
Equipo de TI.</t>
  </si>
  <si>
    <t>Buen día Saul
Solicitamos de su ayuda para confirmar la recepción de este correo.
Reenviamos el código de acceso digital para el dispositivo NoKe en corporativo.
*01356#
Recordando amablemente que el código es personal e intransferible.
&lt;&lt;Te agradecemos nos confirmes la recepción del código | Adjunto encontraremos los manuales de acceso NoKe&gt;&gt;
Atentamente:
Equipo de TI.</t>
  </si>
  <si>
    <t>Buen día Theo
Solicitamos de su ayuda para confirmar la recepción de este correo.
Reenviamos el código de acceso digital para el dispositivo NoKe en corporativo.
*06658#
Recordando amablemente que el código es personal e intransferible.
&lt;&lt;Te agradecemos nos confirmes la recepción del código | Adjunto encontraremos los manuales de acceso NoKe&gt;&gt;
Atentamente:
Equipo de TI.</t>
  </si>
  <si>
    <t>Buen día Veronica
Solicitamos de su ayuda para confirmar la recepción de este correo.
Reenviamos el código de acceso digital para el dispositivo NoKe en corporativo.
*82667#
Recordando amablemente que el código es personal e intransferible.
&lt;&lt;Te agradecemos nos confirmes la recepción del código | Adjunto encontraremos los manuales de acceso NoKe&gt;&gt;
Atentamente:
Equipo de TI.</t>
  </si>
  <si>
    <t>ReenvioCodigoPersonalNoKe2</t>
  </si>
  <si>
    <t>Empresa</t>
  </si>
  <si>
    <t>Producto</t>
  </si>
  <si>
    <t>Fecha</t>
  </si>
  <si>
    <t>Precio unitario</t>
  </si>
  <si>
    <t>Licencias</t>
  </si>
  <si>
    <t>Servicio de envío masivo de correo electrónico</t>
  </si>
  <si>
    <t>Trimble</t>
  </si>
  <si>
    <t>SketchUp Pro</t>
  </si>
  <si>
    <t>2904YYYY</t>
  </si>
  <si>
    <t>Autodesk</t>
  </si>
  <si>
    <t>Autocad</t>
  </si>
  <si>
    <t>0105YYYY</t>
  </si>
  <si>
    <t>0210YYYY</t>
  </si>
  <si>
    <t>0705YYYY</t>
  </si>
  <si>
    <t>1001YYYY</t>
  </si>
  <si>
    <t>1210YYYY</t>
  </si>
  <si>
    <t>1810YYYY</t>
  </si>
  <si>
    <t>3004YYYY</t>
  </si>
  <si>
    <t>Photoshop</t>
  </si>
  <si>
    <t>1004YYYY</t>
  </si>
  <si>
    <t>Illustrator</t>
  </si>
  <si>
    <t>Acrobat Pro DC (16)</t>
  </si>
  <si>
    <t>Salesforce</t>
  </si>
  <si>
    <t>Sales Cloud - Enterprise Edition</t>
  </si>
  <si>
    <t>0505YYYY</t>
  </si>
  <si>
    <t>Wingu</t>
  </si>
  <si>
    <t>O365</t>
  </si>
  <si>
    <t>090088511</t>
  </si>
  <si>
    <t>092441054</t>
  </si>
  <si>
    <t>712100036089</t>
  </si>
  <si>
    <t>SSM0907034Z6</t>
  </si>
  <si>
    <t>712100032256</t>
  </si>
  <si>
    <t>712100040974</t>
  </si>
  <si>
    <t>110002172344</t>
  </si>
  <si>
    <t>EDH1610053NA</t>
  </si>
  <si>
    <t>lcarmona@u-storage.com.mx</t>
  </si>
  <si>
    <t>Buen día Luis
Solicitamos de su ayuda para confirmar la recepción de este correo.
Reenviamos el código de acceso digital para el dispositivo NoKe en corporativo.
*01832#
Recordando amablemente que el código es personal e intransferible.
&lt;&lt;Te agradecemos nos confirmes la recepción del código | Adjunto encontraremos los manuales de acceso NoKe&gt;&gt;
Atentamente:
Equipo de TI.</t>
  </si>
  <si>
    <t>ReenvioCodigoPersonalNoKe3</t>
  </si>
  <si>
    <t>Acapulco - Notificación de asignación de agente TI</t>
  </si>
  <si>
    <t>Buen día Carlos
Espero te encuentres muy bien.
La presente es para notificarles, sobre los cambios de asignación de los agentes TI, para la sucursal Acapulco:
- será el especialista asignado, encargándose de la atención a la sucursal.
Quedamos al pendiente de cualquier duda.
Saludos.
Hugo Nieto.</t>
  </si>
  <si>
    <t>Alameda - Notificación de asignación de agente TI</t>
  </si>
  <si>
    <t>Buen día Nancy
Espero te encuentres muy bien.
La presente es para notificarles, sobre los cambios de asignación de los agentes TI, para la sucursal Alameda:
- será el especialista asignado, encargándose de la atención a la sucursal.
Quedamos al pendiente de cualquier duda.
Saludos.
Hugo Nieto.</t>
  </si>
  <si>
    <t>Anzures - Notificación de asignación de agente TI</t>
  </si>
  <si>
    <t>Buen día Viole/Humberto
Espero se encuentren muy bien.
La presente es para notificarles, sobre los cambios de asignación de los agentes TI, para la sucursal Anzures:
- será el especialista asignado, encargándose de la atención a la sucursal.
Quedamos al pendiente de cualquier duda.
Saludos.
Hugo Nieto.</t>
  </si>
  <si>
    <t>Aviación - Notificación de asignación de agente TI</t>
  </si>
  <si>
    <t>Buen día Ariel
Espero te encuentres muy bien.
La presente es para notificarles, sobre los cambios de asignación de los agentes TI, para la sucursal Aviación:
- será el especialista asignado, encargándose de la atención a la sucursal.
Quedamos al pendiente de cualquier duda.
Saludos.
Hugo Nieto.</t>
  </si>
  <si>
    <t>Churubusco - Notificación de asignación de agente TI</t>
  </si>
  <si>
    <t>Buen día Cristian
Espero te encuentres muy bien.
La presente es para notificarles, sobre los cambios de asignación de los agentes TI, para la sucursal Churubusco:
- será el especialista asignado, encargándose de la atención a la sucursal.
Quedamos al pendiente de cualquier duda.
Saludos.
Hugo Nieto.</t>
  </si>
  <si>
    <t>Circuito - Notificación de asignación de agente TI</t>
  </si>
  <si>
    <t>Buen día Carmina/Mitzy
Espero se encuentren muy bien.
La presente es para notificarles, sobre los cambios de asignación de los agentes TI, para la sucursal Circuito:
- será el especialista asignado, encargándose de la atención a la sucursal.
Quedamos al pendiente de cualquier duda.
Saludos.
Hugo Nieto.</t>
  </si>
  <si>
    <t>Cuajimalpa - Notificación de asignación de agente TI</t>
  </si>
  <si>
    <t>Buen día Carolina
Espero te encuentres muy bien.
La presente es para notificarles, sobre los cambios de asignación de los agentes TI, para la sucursal Cuajimalpa:
- será el especialista asignado, encargándose de la atención a la sucursal.
Quedamos al pendiente de cualquier duda.
Saludos.
Hugo Nieto.</t>
  </si>
  <si>
    <t>Del Valle - Notificación de asignación de agente TI</t>
  </si>
  <si>
    <t>Buen día Luis/Alex
Espero se encuentren muy bien.
La presente es para notificarles, sobre los cambios de asignación de los agentes TI, para la sucursal Del Valle:
- será el especialista asignado, encargándose de la atención a la sucursal.
Quedamos al pendiente de cualquier duda.
Saludos.
Hugo Nieto.</t>
  </si>
  <si>
    <t>Gustavo Baz - Notificación de asignación de agente TI</t>
  </si>
  <si>
    <t>Buen día Rodrigo/Rebeca
Espero se encuentren muy bien.
La presente es para notificarles, sobre los cambios de asignación de los agentes TI, para la sucursal Gustavo Baz:
- será el especialista asignado, encargándose de la atención a la sucursal.
Quedamos al pendiente de cualquier duda.
Saludos.
Hugo Nieto.</t>
  </si>
  <si>
    <t>Imán - Notificación de asignación de agente TI</t>
  </si>
  <si>
    <t>Buen día Érick
Espero te encuentres muy bien.
La presente es para notificarles, sobre los cambios de asignación de los agentes TI, para la sucursal Imán:
- será el especialista asignado, encargándose de la atención a la sucursal.
Quedamos al pendiente de cualquier duda.
Saludos.
Hugo Nieto.</t>
  </si>
  <si>
    <t>Interlomas - Notificación de asignación de agente TI</t>
  </si>
  <si>
    <t>Buen día Oscar/Edgar
Espero se encuentren muy bien.
La presente es para notificarles, sobre los cambios de asignación de los agentes TI, para la sucursal Interlomas:
- será el especialista asignado, encargándose de la atención a la sucursal.
Quedamos al pendiente de cualquier duda.
Saludos.
Hugo Nieto.</t>
  </si>
  <si>
    <t>Lázaro Cárdenas - Notificación de asignación de agente TI</t>
  </si>
  <si>
    <t>Buen día Esthela
Espero te encuentres muy bien.
La presente es para notificarles, sobre los cambios de asignación de los agentes TI, para la sucursal Lázaro Cárdenas:
- será el especialista asignado, encargándose de la atención a la sucursal.
Quedamos al pendiente de cualquier duda.
Saludos.
Hugo Nieto.</t>
  </si>
  <si>
    <t>Lerma - Notificación de asignación de agente TI</t>
  </si>
  <si>
    <t>Buen día Gabriel/Alvaro
Espero se encuentren muy bien.
La presente es para notificarles, sobre los cambios de asignación de los agentes TI, para la sucursal Lerma:
- será el especialista asignado, encargándose de la atención a la sucursal.
Quedamos al pendiente de cualquier duda.
Saludos.
Hugo Nieto.</t>
  </si>
  <si>
    <t>Lindavista - Notificación de asignación de agente TI</t>
  </si>
  <si>
    <t>Buen día Luis
Espero te encuentres muy bien.
La presente es para notificarles, sobre los cambios de asignación de los agentes TI, para la sucursal Lindavista:
- será el especialista asignado, encargándose de la atención a la sucursal.
Quedamos al pendiente de cualquier duda.
Saludos.
Hugo Nieto.</t>
  </si>
  <si>
    <t>Mariano Otero - Notificación de asignación de agente TI</t>
  </si>
  <si>
    <t>Buen día Freedy
Espero te encuentres muy bien.
La presente es para notificarles, sobre los cambios de asignación de los agentes TI, para la sucursal Mariano Otero:
- será el especialista asignado, encargándose de la atención a la sucursal.
Quedamos al pendiente de cualquier duda.
Saludos.
Hugo Nieto.</t>
  </si>
  <si>
    <t>México Tacuba - Notificación de asignación de agente TI</t>
  </si>
  <si>
    <t>Buen día Pris/Angie
Espero se encuentren muy bien.
La presente es para notificarles, sobre los cambios de asignación de los agentes TI, para la sucursal México Tacuba:
- será el especialista asignado, encargándose de la atención a la sucursal.
Quedamos al pendiente de cualquier duda.
Saludos.
Hugo Nieto.</t>
  </si>
  <si>
    <t>Narvarte - Notificación de asignación de agente TI</t>
  </si>
  <si>
    <t>Buen día Bren
Espero te encuentres muy bien.
La presente es para notificarles, sobre los cambios de asignación de los agentes TI, para la sucursal Narvarte:
- será el especialista asignado, encargándose de la atención a la sucursal.
Quedamos al pendiente de cualquier duda.
Saludos.
Hugo Nieto.</t>
  </si>
  <si>
    <t>Parques Polanco - Notificación de asignación de agente TI</t>
  </si>
  <si>
    <t>Buen día Pao
Espero te encuentres muy bien.
La presente es para notificarles, sobre los cambios de asignación de los agentes TI, para la sucursal Parques Polanco:
- será el especialista asignado, encargándose de la atención a la sucursal.
Quedamos al pendiente de cualquier duda.
Saludos.
Hugo Nieto.</t>
  </si>
  <si>
    <t>Paseo Interlomas - Notificación de asignación de agente TI</t>
  </si>
  <si>
    <t>Buen día Martha
Espero te encuentres muy bien.
La presente es para notificarles, sobre los cambios de asignación de los agentes TI, para la sucursal Paseo Interlomas:
- será el especialista asignado, encargándose de la atención a la sucursal.
Quedamos al pendiente de cualquier duda.
Saludos.
Hugo Nieto.</t>
  </si>
  <si>
    <t>Periférico - Notificación de asignación de agente TI</t>
  </si>
  <si>
    <t>Buen día Mike/Joel
Espero se encuentren muy bien.
La presente es para notificarles, sobre los cambios de asignación de los agentes TI, para la sucursal Periférico:
- será el especialista asignado, encargándose de la atención a la sucursal.
Quedamos al pendiente de cualquier duda.
Saludos.
Hugo Nieto.</t>
  </si>
  <si>
    <t>Periférico Sur - Notificación de asignación de agente TI</t>
  </si>
  <si>
    <t>Buen día Eric
Espero te encuentres muy bien.
La presente es para notificarles, sobre los cambios de asignación de los agentes TI, para la sucursal Periférico Sur:
- será el especialista asignado, encargándose de la atención a la sucursal.
Quedamos al pendiente de cualquier duda.
Saludos.
Hugo Nieto.</t>
  </si>
  <si>
    <t>Polanco - Notificación de asignación de agente TI</t>
  </si>
  <si>
    <t>Buen día Gaby
Espero te encuentres muy bien.
La presente es para notificarles, sobre los cambios de asignación de los agentes TI, para la sucursal Polanco:
- será el especialista asignado, encargándose de la atención a la sucursal.
Quedamos al pendiente de cualquier duda.
Saludos.
Hugo Nieto.</t>
  </si>
  <si>
    <t>Puebla - Notificación de asignación de agente TI</t>
  </si>
  <si>
    <t>Buen día Luis/Kenny
Espero se encuentren muy bien.
La presente es para notificarles, sobre los cambios de asignación de los agentes TI, para la sucursal Puebla:
- será el especialista asignado, encargándose de la atención a la sucursal.
Quedamos al pendiente de cualquier duda.
Saludos.
Hugo Nieto.</t>
  </si>
  <si>
    <t>Querétaro - Notificación de asignación de agente TI</t>
  </si>
  <si>
    <t>Buen día Alfred
Espero te encuentres muy bien.
La presente es para notificarles, sobre los cambios de asignación de los agentes TI, para la sucursal Querétaro:
- será el especialista asignado, encargándose de la atención a la sucursal.
Quedamos al pendiente de cualquier duda.
Saludos.
Hugo Nieto.</t>
  </si>
  <si>
    <t>Revolución - Notificación de asignación de agente TI</t>
  </si>
  <si>
    <t>Buen día Ale
Espero te encuentres muy bien.
La presente es para notificarles, sobre los cambios de asignación de los agentes TI, para la sucursal Revolución:
- será el especialista asignado, encargándose de la atención a la sucursal.
Quedamos al pendiente de cualquier duda.
Saludos.
Hugo Nieto.</t>
  </si>
  <si>
    <t>Roma - Notificación de asignación de agente TI</t>
  </si>
  <si>
    <t>Buen día Adrian/Citlaly
Espero se encuentren muy bien.
La presente es para notificarles, sobre los cambios de asignación de los agentes TI, para la sucursal Roma:
- será el especialista asignado, encargándose de la atención a la sucursal.
Quedamos al pendiente de cualquier duda.
Saludos.
Hugo Nieto.</t>
  </si>
  <si>
    <t>San Antonio - Notificación de asignación de agente TI</t>
  </si>
  <si>
    <t>Buen día Edgar/Luis
Espero se encuentren muy bien.
La presente es para notificarles, sobre los cambios de asignación de los agentes TI, para la sucursal San Antonio:
- será el especialista asignado, encargándose de la atención a la sucursal.
Quedamos al pendiente de cualquier duda.
Saludos.
Hugo Nieto.</t>
  </si>
  <si>
    <t>San Luis Potosí - Notificación de asignación de agente TI</t>
  </si>
  <si>
    <t>Buen día Lilí
Espero te encuentres muy bien.
La presente es para notificarles, sobre los cambios de asignación de los agentes TI, para la sucursal San Luis Potosí:
- será el especialista asignado, encargándose de la atención a la sucursal.
Quedamos al pendiente de cualquier duda.
Saludos.
Hugo Nieto.</t>
  </si>
  <si>
    <t>Santa Fe - Notificación de asignación de agente TI</t>
  </si>
  <si>
    <t>Buen día Carlos/Gustavo
Espero se encuentren muy bien.
La presente es para notificarles, sobre los cambios de asignación de los agentes TI, para la sucursal Santa Fe:
- será el especialista asignado, encargándose de la atención a la sucursal.
Quedamos al pendiente de cualquier duda.
Saludos.
Hugo Nieto.</t>
  </si>
  <si>
    <t>Tepeyac - Notificación de asignación de agente TI</t>
  </si>
  <si>
    <t>Buen día Johan/Fer
Espero se encuentren muy bien.
La presente es para notificarles, sobre los cambios de asignación de los agentes TI, para la sucursal Tepeyac:
- será el especialista asignado, encargándose de la atención a la sucursal.
Quedamos al pendiente de cualquier duda.
Saludos.
Hugo Nieto.</t>
  </si>
  <si>
    <t>Tlalpan 949 - Notificación de asignación de agente TI</t>
  </si>
  <si>
    <t>Buen día Agustin/Yessi
Espero se encuentren muy bien.
La presente es para notificarles, sobre los cambios de asignación de los agentes TI, para la sucursal Tlalpan 949:
- será el especialista asignado, encargándose de la atención a la sucursal.
Quedamos al pendiente de cualquier duda.
Saludos.
Hugo Nieto.</t>
  </si>
  <si>
    <t>Tlalpan Coapa - Notificación de asignación de agente TI</t>
  </si>
  <si>
    <t>Buen día Vic/Eri
Espero se encuentren muy bien.
La presente es para notificarles, sobre los cambios de asignación de los agentes TI, para la sucursal Tlalpan Coapa:
- será el especialista asignado, encargándose de la atención a la sucursal.
Quedamos al pendiente de cualquier duda.
Saludos.
Hugo Nieto.</t>
  </si>
  <si>
    <t>Toreo - Notificación de asignación de agente TI</t>
  </si>
  <si>
    <t>Buen día Cedrik/Jose Luis
Espero se encuentren muy bien.
La presente es para notificarles, sobre los cambios de asignación de los agentes TI, para la sucursal Toreo:
- será el especialista asignado, encargándose de la atención a la sucursal.
Quedamos al pendiente de cualquier duda.
Saludos.
Hugo Nieto.</t>
  </si>
  <si>
    <t>Universidad - Notificación de asignación de agente TI</t>
  </si>
  <si>
    <t>Buen día Vanina/Cristian
Espero se encuentren muy bien.
La presente es para notificarles, sobre los cambios de asignación de los agentes TI, para la sucursal Universidad:
- será el especialista asignado, encargándose de la atención a la sucursal.
Quedamos al pendiente de cualquier duda.
Saludos.
Hugo Nieto.</t>
  </si>
  <si>
    <t>Vasco - Notificación de asignación de agente TI</t>
  </si>
  <si>
    <t>Buen día Alex
Espero te encuentres muy bien.
La presente es para notificarles, sobre los cambios de asignación de los agentes TI, para la sucursal Vasco:
- será el especialista asignado, encargándose de la atención a la sucursal.
Quedamos al pendiente de cualquier duda.
Saludos.
Hugo Nieto.</t>
  </si>
  <si>
    <t>Viaducto - Notificación de asignación de agente TI</t>
  </si>
  <si>
    <t>Buen día Gus/Ana
Espero se encuentren muy bien.
La presente es para notificarles, sobre los cambios de asignación de los agentes TI, para la sucursal Viaducto:
- será el especialista asignado, encargándose de la atención a la sucursal.
Quedamos al pendiente de cualquier duda.
Saludos.
Hugo Nieto.</t>
  </si>
  <si>
    <t>Autocad LT</t>
  </si>
  <si>
    <t>Desarrollo web</t>
  </si>
  <si>
    <t>eClock</t>
  </si>
  <si>
    <t>Productos Telefonia IP</t>
  </si>
  <si>
    <t>Sales Cloud</t>
  </si>
  <si>
    <t>Telefonia celular</t>
  </si>
  <si>
    <t>Telefonia IP</t>
  </si>
  <si>
    <t>ReenvioCodigoPersonalNoKe1</t>
  </si>
  <si>
    <t>Margarita</t>
  </si>
  <si>
    <t>Jorge</t>
  </si>
  <si>
    <t>mmagdaleno@u-storage.com.mx</t>
  </si>
  <si>
    <t>jibarra@u-storage.com.mx</t>
  </si>
  <si>
    <t>Buen día Margarita
Solicitamos de su ayuda para confirmar la recepción de este correo.
Reenviamos el código de acceso digital para el dispositivo NoKe en corporativo.
*09932#
Recordando amablemente que el código es personal e intransferible.
&lt;&lt;Te agradecemos nos confirmes la recepción del código | Adjunto encontraremos los manuales de acceso NoKe&gt;&gt;
Atentamente:
Equipo de TI.</t>
  </si>
  <si>
    <t>Buen día Jorge
Solicitamos de su ayuda para confirmar la recepción de este correo.
Reenviamos el código de acceso digital para el dispositivo NoKe en corporativo.
*01889#
Recordando amablemente que el código es personal e intransferible.
&lt;&lt;Te agradecemos nos confirmes la recepción del código | Adjunto encontraremos los manuales de acceso NoKe&gt;&gt;
Atentamente:
Equipo de TI.</t>
  </si>
  <si>
    <t>CSF</t>
  </si>
  <si>
    <t>AdmonCSF</t>
  </si>
  <si>
    <t>Recordar: Solicitar a Edith Hernandez 'edhernandez@u-storage.com.mx' CSF todas Q3</t>
  </si>
  <si>
    <t>Recordar: Solicitar a Edith Hernandez 'edhernandez@u-storage.com.mx' CSF todas Q4</t>
  </si>
  <si>
    <t>Recordar: Solicitar a Edith Hernandez 'edhernandez@u-storage.com.mx' CSF todas Q1</t>
  </si>
  <si>
    <t>Recordar: Solicitar a Edith Hernandez 'edhernandez@u-storage.com.mx' CSF todas Q2</t>
  </si>
  <si>
    <t>RecordatorioCSF</t>
  </si>
  <si>
    <t>Usuarios</t>
  </si>
  <si>
    <t>ABC intranet</t>
  </si>
  <si>
    <t>RecordatorioUsuarios</t>
  </si>
  <si>
    <t>hnieto@u-storage.com.mx;jmartinez@u-storage.com.mx;fvazquez@u-storage.com.mx;vestrada@u-storage.com.mx;ksalgado@u-storage.com.mx</t>
  </si>
  <si>
    <t>Recordar: Mantenimiento mensual de bases de datos intranet.
Por favor su apoyo con la información para dar mantenimiento a intranet.
Equipo RH: Listado de empleados: Campos[No. De empleado,  Nombre del empleado,  Fecha de Ingreso,  Puesto,  Fecha de nacimiento,  Área].
Equipo TI: Listado de empleados actualmente cargados en intranet: Campos[Nombres,  Apellidos,  email,  role,  emailMask,  Numero empleado].
Se agradece su apoyo.</t>
  </si>
  <si>
    <t>ContraseñaEscritorioRemoto</t>
  </si>
  <si>
    <t>parquespolanco@ustorage.local</t>
  </si>
  <si>
    <t>auxiliar.tlalpan949@ustorage.local</t>
  </si>
  <si>
    <t>iman@ustorage.local</t>
  </si>
  <si>
    <t>acapulco@ustorage.local</t>
  </si>
  <si>
    <t>interlomas@ustorage.local</t>
  </si>
  <si>
    <t>lindavista@ustorage.local</t>
  </si>
  <si>
    <t>narvarte@ustorage.local</t>
  </si>
  <si>
    <t>paseointerlomas@ustorage.local</t>
  </si>
  <si>
    <t>puebla@ustorage.local</t>
  </si>
  <si>
    <t>queretaro@ustorage.local</t>
  </si>
  <si>
    <t>tepeyac@ustorage.local</t>
  </si>
  <si>
    <t>tlalpan949@ustorage.local</t>
  </si>
  <si>
    <t>toreo@ustorage.local</t>
  </si>
  <si>
    <t>viaducto@ustorage.local</t>
  </si>
  <si>
    <t>subgerente.puebla@ustorage.local</t>
  </si>
  <si>
    <t>subgerente.lindavista@ustorage.local</t>
  </si>
  <si>
    <t>subgerente.interlomas@ustorage.local</t>
  </si>
  <si>
    <t>subgerente.tepeyac@ustorage.local</t>
  </si>
  <si>
    <t>subgerente.tlalpan949@ustorage.local</t>
  </si>
  <si>
    <t>subgerente.toreo@ustorage.local</t>
  </si>
  <si>
    <t>subgerente.viaducto@ustorage.local</t>
  </si>
  <si>
    <t>auxiliar.viaducto@ustorage.local</t>
  </si>
  <si>
    <t>circuito@ustorage.local</t>
  </si>
  <si>
    <t>periferico@ustorage.local</t>
  </si>
  <si>
    <t>subgerente.circuito@ustorage.local</t>
  </si>
  <si>
    <t>subgerente.periferico@ustorage.local</t>
  </si>
  <si>
    <t>auxiliar.periferico@ustorage.local</t>
  </si>
  <si>
    <t>cuajimalpa@ustorage.local</t>
  </si>
  <si>
    <t>lerma@ustorage.local</t>
  </si>
  <si>
    <t>mexicotacuba@ustorage.local</t>
  </si>
  <si>
    <t>revolucion@ustorage.local</t>
  </si>
  <si>
    <t>subgerente.cuajimalpa@ustorage.local</t>
  </si>
  <si>
    <t>subgerente.tlalpancoapa@ustorage.local</t>
  </si>
  <si>
    <t>subgerente.mexicotacuba@ustorage.local</t>
  </si>
  <si>
    <t>subgerente.sanantonio@ustorage.local</t>
  </si>
  <si>
    <t>subgerente.santafe@ustorage.local</t>
  </si>
  <si>
    <t>subgerente.lerma@ustorage.local</t>
  </si>
  <si>
    <t>tlalpancoapa@ustorage.local</t>
  </si>
  <si>
    <t>polanco@ustorage.local</t>
  </si>
  <si>
    <t>Pa$$w0rd</t>
  </si>
  <si>
    <t>u-Storage01</t>
  </si>
  <si>
    <t>parquespolanco</t>
  </si>
  <si>
    <t>auxiliar.tlalpan949</t>
  </si>
  <si>
    <t>iman</t>
  </si>
  <si>
    <t>acapulco</t>
  </si>
  <si>
    <t>interlomas</t>
  </si>
  <si>
    <t>lindavista</t>
  </si>
  <si>
    <t>narvarte</t>
  </si>
  <si>
    <t>paseointerlomas</t>
  </si>
  <si>
    <t>puebla</t>
  </si>
  <si>
    <t>queretaro</t>
  </si>
  <si>
    <t>tepeyac</t>
  </si>
  <si>
    <t>tlalpan949</t>
  </si>
  <si>
    <t>toreo</t>
  </si>
  <si>
    <t>viaducto</t>
  </si>
  <si>
    <t>subgerente.puebla</t>
  </si>
  <si>
    <t>subgerente.lindavista</t>
  </si>
  <si>
    <t>subgerente.interlomas</t>
  </si>
  <si>
    <t>subgerente.tepeyac</t>
  </si>
  <si>
    <t>subgerente.tlalpan949</t>
  </si>
  <si>
    <t>subgerente.toreo</t>
  </si>
  <si>
    <t>subgerente.viaducto</t>
  </si>
  <si>
    <t>auxiliar.viaducto</t>
  </si>
  <si>
    <t>circuito</t>
  </si>
  <si>
    <t>periferico</t>
  </si>
  <si>
    <t>subgerente.circuito</t>
  </si>
  <si>
    <t>subgerente.periferico</t>
  </si>
  <si>
    <t>auxiliar.periferico</t>
  </si>
  <si>
    <t>cuajimalpa</t>
  </si>
  <si>
    <t>lerma</t>
  </si>
  <si>
    <t>mexicotacuba</t>
  </si>
  <si>
    <t>revolucion</t>
  </si>
  <si>
    <t>gsanantonio</t>
  </si>
  <si>
    <t>gsantafe</t>
  </si>
  <si>
    <t>subgerente.cuajimalpa</t>
  </si>
  <si>
    <t>subgerente.tlalpancoapa</t>
  </si>
  <si>
    <t>subgerente.mexicotacuba</t>
  </si>
  <si>
    <t>subgerente.sanantonio</t>
  </si>
  <si>
    <t>subgerente.santafe</t>
  </si>
  <si>
    <t>subgerente.lerma</t>
  </si>
  <si>
    <t>tlalpancoapa</t>
  </si>
  <si>
    <t>polanco</t>
  </si>
  <si>
    <t>lerma@u-storage.com.mx</t>
  </si>
  <si>
    <t>subgte.lerma@u-storage.com.mx</t>
  </si>
  <si>
    <t>cuajimalpa@u-storage.com.mx</t>
  </si>
  <si>
    <t>subgecuajimalpa@u-storage.com.mx</t>
  </si>
  <si>
    <t>lindavista@u-storage.com.mx</t>
  </si>
  <si>
    <t>subgelindavista@u-storage.com.mx</t>
  </si>
  <si>
    <t>polanco@u-storage.com.mx</t>
  </si>
  <si>
    <t>acapulco@u-storage.com.mx</t>
  </si>
  <si>
    <t>tlalpancoapa@u-storage.com.mx</t>
  </si>
  <si>
    <t>subgetlalpancoapa@u-storage.com.mx</t>
  </si>
  <si>
    <t>santafe@u-storage.com.mx</t>
  </si>
  <si>
    <t>subgesantafe@u-storage.com.mx</t>
  </si>
  <si>
    <t>vasco@u-storage.com.mx</t>
  </si>
  <si>
    <t>tepeyac@u-storage.com.mx</t>
  </si>
  <si>
    <t>subgerente.tepeyac@u-storage.com.mx</t>
  </si>
  <si>
    <t>interlomas@u-storage.com.mx</t>
  </si>
  <si>
    <t>subgerente.interlomas@u-storage.com.mx</t>
  </si>
  <si>
    <t>mexicotacuba@u-storage.com.mx</t>
  </si>
  <si>
    <t>subgemexicotacuba@u-storage.com.mx</t>
  </si>
  <si>
    <t>puebla@u-storage.com.mx</t>
  </si>
  <si>
    <t>pueblasubge@u-storage.com.mx</t>
  </si>
  <si>
    <t>revolucion@u-storage.com.mx</t>
  </si>
  <si>
    <t>toreo@u-storage.com.mx</t>
  </si>
  <si>
    <t>subgetoreo@u-storage.com.mx</t>
  </si>
  <si>
    <t>queretaro@u-storage.com.mx</t>
  </si>
  <si>
    <t>iman@u-storage.com.mx</t>
  </si>
  <si>
    <t>tlalpan949@u-storage.com.mx</t>
  </si>
  <si>
    <t>subgetlalpan949@u-storage.com.mx</t>
  </si>
  <si>
    <t>subgetlalpan9492@u-storage.com.mx</t>
  </si>
  <si>
    <t>parquespolanco@u-storage.com.mx</t>
  </si>
  <si>
    <t>circuito@u-storage.com.mx</t>
  </si>
  <si>
    <t>subgecircuito@u-storage.com.mx</t>
  </si>
  <si>
    <t>periferico@u-storage.com.mx</t>
  </si>
  <si>
    <t>subgeperiferico@u-storage.com.mx</t>
  </si>
  <si>
    <t>subgeperiferico2@u-storage.com.mx</t>
  </si>
  <si>
    <t>viaducto@u-storage.com.mx</t>
  </si>
  <si>
    <t>subgeviaducto@u-storage.com.mx</t>
  </si>
  <si>
    <t>sanantonio@u-storage.com.mx</t>
  </si>
  <si>
    <t>subgerente.sanantonio@u-storage.com.mx</t>
  </si>
  <si>
    <t>vasco</t>
  </si>
  <si>
    <t>narvarte@u-storage.com.mx</t>
  </si>
  <si>
    <t>sanantonio@ustorage.local</t>
  </si>
  <si>
    <t>santafe@ustorage.local</t>
  </si>
  <si>
    <t>vasco@ustorage.local</t>
  </si>
  <si>
    <t>mhernandez@u-storage.com.mx;mbruno@u-storage.com.mx</t>
  </si>
  <si>
    <t>Escritorio Remoto: acapulco</t>
  </si>
  <si>
    <t>Buen día Estimados.
Compartimos los nuevos acceso a su escritorio remoto: 
Usuario: 'acapulco@ustorage.local'
Contraseña: 'Pa$$w0rd'
Soporte TI.</t>
  </si>
  <si>
    <t>Escritorio Remoto: auxiliar.periferico</t>
  </si>
  <si>
    <t>Buen día Estimados.
Compartimos los nuevos acceso a su escritorio remoto: 
Usuario: 'auxiliar.periferico@ustorage.local'
Contraseña: 'Pa$$w0rd'
Soporte TI.</t>
  </si>
  <si>
    <t>Escritorio Remoto: auxiliar.tlalpan949</t>
  </si>
  <si>
    <t>Buen día Estimados.
Compartimos los nuevos acceso a su escritorio remoto: 
Usuario: 'auxiliar.tlalpan949@ustorage.local'
Contraseña: 'Pa$$w0rd'
Soporte TI.</t>
  </si>
  <si>
    <t>Escritorio Remoto: auxiliar.viaducto</t>
  </si>
  <si>
    <t>Buen día Estimados.
Compartimos los nuevos acceso a su escritorio remoto: 
Usuario: 'auxiliar.viaducto@ustorage.local'
Contraseña: 'Pa$$w0rd'
Soporte TI.</t>
  </si>
  <si>
    <t>Escritorio Remoto: circuito</t>
  </si>
  <si>
    <t>Buen día Estimados.
Compartimos los nuevos acceso a su escritorio remoto: 
Usuario: 'circuito@ustorage.local'
Contraseña: 'Pa$$w0rd'
Soporte TI.</t>
  </si>
  <si>
    <t>Escritorio Remoto: cuajimalpa</t>
  </si>
  <si>
    <t>Buen día Estimados.
Compartimos los nuevos acceso a su escritorio remoto: 
Usuario: 'cuajimalpa@ustorage.local'
Contraseña: 'Pa$$w0rd'
Soporte TI.</t>
  </si>
  <si>
    <t>Escritorio Remoto: iman</t>
  </si>
  <si>
    <t>Buen día Estimados.
Compartimos los nuevos acceso a su escritorio remoto: 
Usuario: 'iman@ustorage.local'
Contraseña: 'Pa$$w0rd'
Soporte TI.</t>
  </si>
  <si>
    <t>Escritorio Remoto: interlomas</t>
  </si>
  <si>
    <t>Buen día Estimados.
Compartimos los nuevos acceso a su escritorio remoto: 
Usuario: 'interlomas@ustorage.local'
Contraseña: 'Pa$$w0rd'
Soporte TI.</t>
  </si>
  <si>
    <t>Escritorio Remoto: lerma</t>
  </si>
  <si>
    <t>Buen día Estimados.
Compartimos los nuevos acceso a su escritorio remoto: 
Usuario: 'lerma@ustorage.local'
Contraseña: 'Pa$$w0rd'
Soporte TI.</t>
  </si>
  <si>
    <t>Escritorio Remoto: lindavista</t>
  </si>
  <si>
    <t>Buen día Estimados.
Compartimos los nuevos acceso a su escritorio remoto: 
Usuario: 'lindavista@ustorage.local'
Contraseña: 'Pa$$w0rd'
Soporte TI.</t>
  </si>
  <si>
    <t>Escritorio Remoto: mexicotacuba</t>
  </si>
  <si>
    <t>Buen día Estimados.
Compartimos los nuevos acceso a su escritorio remoto: 
Usuario: 'mexicotacuba@ustorage.local'
Contraseña: 'Pa$$w0rd'
Soporte TI.</t>
  </si>
  <si>
    <t>Escritorio Remoto: narvarte</t>
  </si>
  <si>
    <t>Buen día Estimados.
Compartimos los nuevos acceso a su escritorio remoto: 
Usuario: 'narvarte@ustorage.local'
Contraseña: 'Pa$$w0rd'
Soporte TI.</t>
  </si>
  <si>
    <t>Escritorio Remoto: parquespolanco</t>
  </si>
  <si>
    <t>Buen día Estimados.
Compartimos los nuevos acceso a su escritorio remoto: 
Usuario: 'parquespolanco@ustorage.local'
Contraseña: 'Pa$$w0rd'
Soporte TI.</t>
  </si>
  <si>
    <t>Escritorio Remoto: paseointerlomas</t>
  </si>
  <si>
    <t>Buen día Estimados.
Compartimos los nuevos acceso a su escritorio remoto: 
Usuario: 'paseointerlomas@ustorage.local'
Contraseña: 'Pa$$w0rd'
Soporte TI.</t>
  </si>
  <si>
    <t>Escritorio Remoto: periferico</t>
  </si>
  <si>
    <t>Buen día Estimados.
Compartimos los nuevos acceso a su escritorio remoto: 
Usuario: 'periferico@ustorage.local'
Contraseña: 'Pa$$w0rd'
Soporte TI.</t>
  </si>
  <si>
    <t>Escritorio Remoto: polanco</t>
  </si>
  <si>
    <t>Buen día Estimados.
Compartimos los nuevos acceso a su escritorio remoto: 
Usuario: 'polanco@ustorage.local'
Contraseña: 'Pa$$w0rd'
Soporte TI.</t>
  </si>
  <si>
    <t>Escritorio Remoto: puebla</t>
  </si>
  <si>
    <t>Buen día Estimados.
Compartimos los nuevos acceso a su escritorio remoto: 
Usuario: 'puebla@ustorage.local'
Contraseña: 'Pa$$w0rd'
Soporte TI.</t>
  </si>
  <si>
    <t>Escritorio Remoto: queretaro</t>
  </si>
  <si>
    <t>Buen día Estimados.
Compartimos los nuevos acceso a su escritorio remoto: 
Usuario: 'queretaro@ustorage.local'
Contraseña: 'Pa$$w0rd'
Soporte TI.</t>
  </si>
  <si>
    <t>Escritorio Remoto: revolucion</t>
  </si>
  <si>
    <t>Buen día Estimados.
Compartimos los nuevos acceso a su escritorio remoto: 
Usuario: 'revolucion@ustorage.local'
Contraseña: 'Pa$$w0rd'
Soporte TI.</t>
  </si>
  <si>
    <t>Escritorio Remoto: gsanantonio</t>
  </si>
  <si>
    <t>Buen día Estimados.
Compartimos los nuevos acceso a su escritorio remoto: 
Usuario: 'sanantonio@ustorage.local'
Contraseña: 'Pa$$w0rd'
Soporte TI.</t>
  </si>
  <si>
    <t>Escritorio Remoto: gsantafe</t>
  </si>
  <si>
    <t>Buen día Estimados.
Compartimos los nuevos acceso a su escritorio remoto: 
Usuario: 'santafe@ustorage.local'
Contraseña: 'Pa$$w0rd'
Soporte TI.</t>
  </si>
  <si>
    <t>Escritorio Remoto: subgerente.circuito</t>
  </si>
  <si>
    <t>Buen día Estimados.
Compartimos los nuevos acceso a su escritorio remoto: 
Usuario: 'subgerente.circuito@ustorage.local'
Contraseña: 'Pa$$w0rd'
Soporte TI.</t>
  </si>
  <si>
    <t>Escritorio Remoto: subgerente.cuajimalpa</t>
  </si>
  <si>
    <t>Buen día Estimados.
Compartimos los nuevos acceso a su escritorio remoto: 
Usuario: 'subgerente.cuajimalpa@ustorage.local'
Contraseña: 'Pa$$w0rd'
Soporte TI.</t>
  </si>
  <si>
    <t>Escritorio Remoto: subgerente.interlomas</t>
  </si>
  <si>
    <t>Buen día Estimados.
Compartimos los nuevos acceso a su escritorio remoto: 
Usuario: 'subgerente.interlomas@ustorage.local'
Contraseña: 'Pa$$w0rd'
Soporte TI.</t>
  </si>
  <si>
    <t>Escritorio Remoto: subgerente.lerma</t>
  </si>
  <si>
    <t>Buen día Estimados.
Compartimos los nuevos acceso a su escritorio remoto: 
Usuario: 'subgerente.lerma@ustorage.local'
Contraseña: 'Pa$$w0rd'
Soporte TI.</t>
  </si>
  <si>
    <t>Escritorio Remoto: subgerente.lindavista</t>
  </si>
  <si>
    <t>Buen día Estimados.
Compartimos los nuevos acceso a su escritorio remoto: 
Usuario: 'subgerente.lindavista@ustorage.local'
Contraseña: 'Pa$$w0rd'
Soporte TI.</t>
  </si>
  <si>
    <t>Escritorio Remoto: subgerente.mexicotacuba</t>
  </si>
  <si>
    <t>Buen día Estimados.
Compartimos los nuevos acceso a su escritorio remoto: 
Usuario: 'subgerente.mexicotacuba@ustorage.local'
Contraseña: 'Pa$$w0rd'
Soporte TI.</t>
  </si>
  <si>
    <t>Escritorio Remoto: subgerente.periferico</t>
  </si>
  <si>
    <t>Buen día Estimados.
Compartimos los nuevos acceso a su escritorio remoto: 
Usuario: 'subgerente.periferico@ustorage.local'
Contraseña: 'Pa$$w0rd'
Soporte TI.</t>
  </si>
  <si>
    <t>Escritorio Remoto: subgerente.puebla</t>
  </si>
  <si>
    <t>Buen día Estimados.
Compartimos los nuevos acceso a su escritorio remoto: 
Usuario: 'subgerente.puebla@ustorage.local'
Contraseña: 'Pa$$w0rd'
Soporte TI.</t>
  </si>
  <si>
    <t>Escritorio Remoto: subgerente.sanantonio</t>
  </si>
  <si>
    <t>Buen día Estimados.
Compartimos los nuevos acceso a su escritorio remoto: 
Usuario: 'subgerente.sanantonio@ustorage.local'
Contraseña: 'u-Storage01'
Soporte TI.</t>
  </si>
  <si>
    <t>Escritorio Remoto: subgerente.santafe</t>
  </si>
  <si>
    <t>Buen día Estimados.
Compartimos los nuevos acceso a su escritorio remoto: 
Usuario: 'subgerente.santafe@ustorage.local'
Contraseña: 'Pa$$w0rd'
Soporte TI.</t>
  </si>
  <si>
    <t>Escritorio Remoto: subgerente.tepeyac</t>
  </si>
  <si>
    <t>Buen día Estimados.
Compartimos los nuevos acceso a su escritorio remoto: 
Usuario: 'subgerente.tepeyac@ustorage.local'
Contraseña: 'Pa$$w0rd'
Soporte TI.</t>
  </si>
  <si>
    <t>Escritorio Remoto: subgerente.tlalpan949</t>
  </si>
  <si>
    <t>Buen día Estimados.
Compartimos los nuevos acceso a su escritorio remoto: 
Usuario: 'subgerente.tlalpan949@ustorage.local'
Contraseña: 'Pa$$w0rd'
Soporte TI.</t>
  </si>
  <si>
    <t>Escritorio Remoto: subgerente.tlalpancoapa</t>
  </si>
  <si>
    <t>Buen día Estimados.
Compartimos los nuevos acceso a su escritorio remoto: 
Usuario: 'subgerente.tlalpancoapa@ustorage.local'
Contraseña: 'Pa$$w0rd'
Soporte TI.</t>
  </si>
  <si>
    <t>Escritorio Remoto: subgerente.toreo</t>
  </si>
  <si>
    <t>Buen día Estimados.
Compartimos los nuevos acceso a su escritorio remoto: 
Usuario: 'subgerente.toreo@ustorage.local'
Contraseña: 'Pa$$w0rd'
Soporte TI.</t>
  </si>
  <si>
    <t>Escritorio Remoto: subgerente.viaducto</t>
  </si>
  <si>
    <t>Buen día Estimados.
Compartimos los nuevos acceso a su escritorio remoto: 
Usuario: 'subgerente.viaducto@ustorage.local'
Contraseña: 'Pa$$w0rd'
Soporte TI.</t>
  </si>
  <si>
    <t>Escritorio Remoto: tepeyac</t>
  </si>
  <si>
    <t>Buen día Estimados.
Compartimos los nuevos acceso a su escritorio remoto: 
Usuario: 'tepeyac@ustorage.local'
Contraseña: 'Pa$$w0rd'
Soporte TI.</t>
  </si>
  <si>
    <t>Escritorio Remoto: tlalpan949</t>
  </si>
  <si>
    <t>Buen día Estimados.
Compartimos los nuevos acceso a su escritorio remoto: 
Usuario: 'tlalpan949@ustorage.local'
Contraseña: 'Pa$$w0rd'
Soporte TI.</t>
  </si>
  <si>
    <t>Escritorio Remoto: tlalpancoapa</t>
  </si>
  <si>
    <t>Buen día Estimados.
Compartimos los nuevos acceso a su escritorio remoto: 
Usuario: 'tlalpancoapa@ustorage.local'
Contraseña: 'Pa$$w0rd'
Soporte TI.</t>
  </si>
  <si>
    <t>Escritorio Remoto: toreo</t>
  </si>
  <si>
    <t>Buen día Estimados.
Compartimos los nuevos acceso a su escritorio remoto: 
Usuario: 'toreo@ustorage.local'
Contraseña: 'Pa$$w0rd'
Soporte TI.</t>
  </si>
  <si>
    <t>Escritorio Remoto: vasco</t>
  </si>
  <si>
    <t>Buen día Estimados.
Compartimos los nuevos acceso a su escritorio remoto: 
Usuario: 'vasco@ustorage.local'
Contraseña: 'Pa$$w0rd'
Soporte TI.</t>
  </si>
  <si>
    <t>Escritorio Remoto: viaducto</t>
  </si>
  <si>
    <t>Buen día Estimados.
Compartimos los nuevos acceso a su escritorio remoto: 
Usuario: 'viaducto@ustorage.local'
Contraseña: 'Pa$$w0rd'
Soporte TI.</t>
  </si>
  <si>
    <t>PruebaEMAIL</t>
  </si>
  <si>
    <t>Prueba 1</t>
  </si>
  <si>
    <t>ti@u-storage.com.mx</t>
  </si>
  <si>
    <t>Prueba 2</t>
  </si>
  <si>
    <t>us.hnieto@gmail.com</t>
  </si>
  <si>
    <t>Prueba 2.1</t>
  </si>
  <si>
    <t>Triara</t>
  </si>
  <si>
    <t>Prueba 2.2 triara</t>
  </si>
  <si>
    <t>Prueba 3 - uStorage</t>
  </si>
  <si>
    <t>us.hnieto@gmail.com;hnieto@u-storage.com.mx</t>
  </si>
  <si>
    <t>Prueba 3 - uStorage TI</t>
  </si>
  <si>
    <t>Mariano Escobedo</t>
  </si>
  <si>
    <t>Vasconcelos</t>
  </si>
  <si>
    <t>Lago Chairel</t>
  </si>
  <si>
    <t>0200518196</t>
  </si>
  <si>
    <t>1Mariano Escobedo</t>
  </si>
  <si>
    <t>0200511720</t>
  </si>
  <si>
    <t>1Vasconcelos</t>
  </si>
  <si>
    <t>0200571080</t>
  </si>
  <si>
    <t>1Lago Chairel</t>
  </si>
  <si>
    <t>TelecomunicacionesMariano Escobedo</t>
  </si>
  <si>
    <t>TelecomunicacionesVasconcelos</t>
  </si>
  <si>
    <t>TelecomunicacionesLago Chairel</t>
  </si>
  <si>
    <t>sucursales.us@u-storage.com.mx;dms@u-storage.com.mx;scazares@u-storage.com.mx;hnieto@u-storage.com.mx</t>
  </si>
  <si>
    <t>sucursales.us@u-storage.com.mx;dms@u-storage.com.mx;cxc@u-storage.com.mx;kmontano@u-storage.com.mx;mbruno@u-storage.com.mx;hnieto@u-storage.com.mx;erika.iniestra@guardabox.com;sucursales.gb@u-storage.com.mx</t>
  </si>
  <si>
    <t>Cambiar recordatorio intranet hasta el 17 de cada mes</t>
  </si>
  <si>
    <t>recordatorio hnieto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</si>
</sst>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Border="1" applyAlignment="1">
      <alignment wrapText="1"/>
    </xf>
    <xf numFmtId="0" fontId="1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/>
    <xf numFmtId="0" fontId="4" fillId="0" borderId="2" xfId="0" applyFont="1" applyBorder="1" applyAlignment="1">
      <alignment vertical="center" wrapText="1"/>
    </xf>
    <xf numFmtId="0" fontId="5" fillId="0" borderId="5" xfId="0" applyFont="1" applyBorder="1"/>
    <xf numFmtId="0" fontId="5" fillId="0" borderId="3" xfId="0" applyFont="1" applyBorder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14" fontId="0" fillId="0" borderId="0" xfId="0" applyNumberFormat="1"/>
    <xf numFmtId="0" fontId="8" fillId="0" borderId="0" xfId="0" applyFont="1" applyAlignment="1">
      <alignment horizontal="center"/>
    </xf>
    <xf numFmtId="0" fontId="3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4" borderId="0" xfId="0" applyFill="1"/>
    <xf numFmtId="0" fontId="3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0" fillId="7" borderId="0" xfId="0" applyFill="1"/>
    <xf numFmtId="0" fontId="10" fillId="7" borderId="0" xfId="0" applyFont="1" applyFill="1"/>
    <xf numFmtId="0" fontId="9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D2FA4-789B-4BCB-BF77-2BD167742EE9}">
  <sheetPr codeName="Sheet1"/>
  <dimension ref="B1:B16"/>
  <sheetViews>
    <sheetView zoomScale="80" zoomScaleNormal="80" workbookViewId="0"/>
  </sheetViews>
  <sheetFormatPr defaultRowHeight="14.5" x14ac:dyDescent="0.35"/>
  <cols>
    <col min="1" max="1" width="2.453125" customWidth="1"/>
    <col min="2" max="2" width="84.7265625" customWidth="1"/>
  </cols>
  <sheetData>
    <row r="1" spans="2:2" ht="15" thickBot="1" x14ac:dyDescent="0.4"/>
    <row r="2" spans="2:2" ht="29.5" thickBot="1" x14ac:dyDescent="0.4">
      <c r="B2" s="3" t="s">
        <v>5</v>
      </c>
    </row>
    <row r="3" spans="2:2" x14ac:dyDescent="0.35">
      <c r="B3" s="2"/>
    </row>
    <row r="4" spans="2:2" x14ac:dyDescent="0.35">
      <c r="B4" s="4" t="s">
        <v>0</v>
      </c>
    </row>
    <row r="5" spans="2:2" ht="35.5" customHeight="1" x14ac:dyDescent="0.35">
      <c r="B5" s="5" t="s">
        <v>4</v>
      </c>
    </row>
    <row r="6" spans="2:2" ht="35.5" customHeight="1" x14ac:dyDescent="0.35">
      <c r="B6" s="5" t="s">
        <v>2</v>
      </c>
    </row>
    <row r="7" spans="2:2" ht="35.5" customHeight="1" x14ac:dyDescent="0.35">
      <c r="B7" s="5" t="s">
        <v>3</v>
      </c>
    </row>
    <row r="8" spans="2:2" x14ac:dyDescent="0.35">
      <c r="B8" s="5" t="s">
        <v>8</v>
      </c>
    </row>
    <row r="10" spans="2:2" x14ac:dyDescent="0.35">
      <c r="B10" s="6" t="s">
        <v>13</v>
      </c>
    </row>
    <row r="11" spans="2:2" x14ac:dyDescent="0.35">
      <c r="B11" s="7" t="s">
        <v>12</v>
      </c>
    </row>
    <row r="13" spans="2:2" x14ac:dyDescent="0.35">
      <c r="B13" s="8" t="s">
        <v>6</v>
      </c>
    </row>
    <row r="14" spans="2:2" x14ac:dyDescent="0.35">
      <c r="B14" s="9" t="s">
        <v>10</v>
      </c>
    </row>
    <row r="15" spans="2:2" x14ac:dyDescent="0.35">
      <c r="B15" s="9" t="s">
        <v>11</v>
      </c>
    </row>
    <row r="16" spans="2:2" x14ac:dyDescent="0.35">
      <c r="B16" s="10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2667-71F7-491D-BF6B-3977F6433349}">
  <dimension ref="A1:J19"/>
  <sheetViews>
    <sheetView workbookViewId="0">
      <selection activeCell="A2" sqref="A2"/>
    </sheetView>
  </sheetViews>
  <sheetFormatPr defaultRowHeight="14.5" x14ac:dyDescent="0.35"/>
  <cols>
    <col min="8" max="8" width="19.6328125" style="1" bestFit="1" customWidth="1"/>
    <col min="9" max="9" width="19.6328125" style="1" customWidth="1"/>
  </cols>
  <sheetData>
    <row r="1" spans="1:10" x14ac:dyDescent="0.35">
      <c r="A1" t="s">
        <v>891</v>
      </c>
      <c r="B1" t="s">
        <v>892</v>
      </c>
      <c r="C1" t="s">
        <v>893</v>
      </c>
      <c r="D1" t="s">
        <v>894</v>
      </c>
      <c r="E1" t="s">
        <v>895</v>
      </c>
      <c r="H1" s="1" t="s">
        <v>461</v>
      </c>
      <c r="J1" t="s">
        <v>461</v>
      </c>
    </row>
    <row r="2" spans="1:10" x14ac:dyDescent="0.35">
      <c r="A2" t="s">
        <v>436</v>
      </c>
      <c r="B2" t="s">
        <v>896</v>
      </c>
      <c r="C2">
        <v>3</v>
      </c>
      <c r="D2">
        <v>101.95</v>
      </c>
      <c r="E2">
        <v>1</v>
      </c>
      <c r="H2" s="1" t="s">
        <v>920</v>
      </c>
      <c r="I2" s="1" t="s">
        <v>1001</v>
      </c>
    </row>
    <row r="3" spans="1:10" x14ac:dyDescent="0.35">
      <c r="A3" t="s">
        <v>897</v>
      </c>
      <c r="B3" t="s">
        <v>898</v>
      </c>
      <c r="C3" t="s">
        <v>899</v>
      </c>
      <c r="D3">
        <v>6195</v>
      </c>
      <c r="E3">
        <v>1</v>
      </c>
      <c r="H3" s="1" t="s">
        <v>922</v>
      </c>
      <c r="I3" s="1" t="s">
        <v>1001</v>
      </c>
    </row>
    <row r="4" spans="1:10" x14ac:dyDescent="0.35">
      <c r="A4" t="s">
        <v>900</v>
      </c>
      <c r="B4" t="s">
        <v>901</v>
      </c>
      <c r="C4" t="s">
        <v>902</v>
      </c>
      <c r="D4">
        <v>5133</v>
      </c>
      <c r="E4">
        <v>1</v>
      </c>
      <c r="H4" s="1" t="s">
        <v>923</v>
      </c>
      <c r="I4" s="1" t="s">
        <v>1001</v>
      </c>
    </row>
    <row r="5" spans="1:10" x14ac:dyDescent="0.35">
      <c r="A5" t="s">
        <v>900</v>
      </c>
      <c r="B5" t="s">
        <v>901</v>
      </c>
      <c r="C5" t="s">
        <v>903</v>
      </c>
      <c r="D5">
        <v>5133</v>
      </c>
      <c r="E5">
        <v>1</v>
      </c>
      <c r="H5" s="1" t="s">
        <v>924</v>
      </c>
      <c r="I5" s="1" t="s">
        <v>1001</v>
      </c>
    </row>
    <row r="6" spans="1:10" x14ac:dyDescent="0.35">
      <c r="A6" t="s">
        <v>900</v>
      </c>
      <c r="B6" t="s">
        <v>901</v>
      </c>
      <c r="C6" t="s">
        <v>903</v>
      </c>
      <c r="D6">
        <v>5133</v>
      </c>
      <c r="E6">
        <v>1</v>
      </c>
      <c r="H6" s="1" t="s">
        <v>925</v>
      </c>
      <c r="I6" s="1" t="s">
        <v>1002</v>
      </c>
    </row>
    <row r="7" spans="1:10" x14ac:dyDescent="0.35">
      <c r="A7" t="s">
        <v>900</v>
      </c>
      <c r="B7" t="s">
        <v>901</v>
      </c>
      <c r="C7" t="s">
        <v>903</v>
      </c>
      <c r="D7">
        <v>5133</v>
      </c>
      <c r="E7">
        <v>1</v>
      </c>
      <c r="H7" s="1" t="s">
        <v>921</v>
      </c>
      <c r="I7" s="1" t="s">
        <v>1003</v>
      </c>
    </row>
    <row r="8" spans="1:10" x14ac:dyDescent="0.35">
      <c r="A8" t="s">
        <v>900</v>
      </c>
      <c r="B8" t="s">
        <v>901</v>
      </c>
      <c r="C8" t="s">
        <v>904</v>
      </c>
      <c r="D8">
        <v>5133</v>
      </c>
      <c r="E8">
        <v>1</v>
      </c>
      <c r="H8" s="1">
        <v>555431</v>
      </c>
      <c r="I8" s="1" t="s">
        <v>1004</v>
      </c>
    </row>
    <row r="9" spans="1:10" x14ac:dyDescent="0.35">
      <c r="A9" t="s">
        <v>900</v>
      </c>
      <c r="B9" t="s">
        <v>901</v>
      </c>
      <c r="C9" t="s">
        <v>905</v>
      </c>
      <c r="D9">
        <v>5133</v>
      </c>
      <c r="E9">
        <v>1</v>
      </c>
      <c r="H9" s="1">
        <v>4121519896</v>
      </c>
      <c r="I9" s="1" t="s">
        <v>1005</v>
      </c>
    </row>
    <row r="10" spans="1:10" x14ac:dyDescent="0.35">
      <c r="A10" t="s">
        <v>900</v>
      </c>
      <c r="B10" t="s">
        <v>901</v>
      </c>
      <c r="C10" t="s">
        <v>906</v>
      </c>
      <c r="D10">
        <v>5133</v>
      </c>
      <c r="E10">
        <v>1</v>
      </c>
      <c r="H10" s="1" t="s">
        <v>918</v>
      </c>
      <c r="I10" s="1" t="s">
        <v>1006</v>
      </c>
    </row>
    <row r="11" spans="1:10" x14ac:dyDescent="0.35">
      <c r="A11" t="s">
        <v>900</v>
      </c>
      <c r="B11" t="s">
        <v>901</v>
      </c>
      <c r="C11" t="s">
        <v>907</v>
      </c>
      <c r="D11">
        <v>5133</v>
      </c>
      <c r="E11">
        <v>1</v>
      </c>
      <c r="H11" s="1" t="s">
        <v>919</v>
      </c>
      <c r="I11" s="1" t="s">
        <v>1006</v>
      </c>
    </row>
    <row r="12" spans="1:10" x14ac:dyDescent="0.35">
      <c r="A12" t="s">
        <v>900</v>
      </c>
      <c r="B12" t="s">
        <v>901</v>
      </c>
      <c r="C12" t="s">
        <v>907</v>
      </c>
      <c r="D12">
        <v>5133</v>
      </c>
      <c r="E12">
        <v>1</v>
      </c>
      <c r="H12" s="1">
        <v>45285</v>
      </c>
      <c r="I12" s="1" t="s">
        <v>1007</v>
      </c>
    </row>
    <row r="13" spans="1:10" x14ac:dyDescent="0.35">
      <c r="A13" t="s">
        <v>900</v>
      </c>
      <c r="B13" t="s">
        <v>901</v>
      </c>
      <c r="C13" t="s">
        <v>907</v>
      </c>
      <c r="D13">
        <v>5133</v>
      </c>
      <c r="E13">
        <v>1</v>
      </c>
      <c r="H13" s="1">
        <v>701719</v>
      </c>
      <c r="I13" s="1" t="s">
        <v>1007</v>
      </c>
    </row>
    <row r="14" spans="1:10" x14ac:dyDescent="0.35">
      <c r="A14" t="s">
        <v>900</v>
      </c>
      <c r="B14" t="s">
        <v>901</v>
      </c>
      <c r="C14" t="s">
        <v>908</v>
      </c>
      <c r="D14">
        <v>5133</v>
      </c>
      <c r="E14">
        <v>1</v>
      </c>
    </row>
    <row r="15" spans="1:10" x14ac:dyDescent="0.35">
      <c r="A15" t="s">
        <v>455</v>
      </c>
      <c r="B15" t="s">
        <v>909</v>
      </c>
      <c r="C15" t="s">
        <v>910</v>
      </c>
      <c r="D15">
        <v>8388</v>
      </c>
    </row>
    <row r="16" spans="1:10" x14ac:dyDescent="0.35">
      <c r="A16" t="s">
        <v>455</v>
      </c>
      <c r="B16" t="s">
        <v>911</v>
      </c>
      <c r="C16" t="s">
        <v>910</v>
      </c>
      <c r="D16">
        <v>8388</v>
      </c>
    </row>
    <row r="17" spans="1:5" x14ac:dyDescent="0.35">
      <c r="A17" t="s">
        <v>455</v>
      </c>
      <c r="B17" t="s">
        <v>912</v>
      </c>
      <c r="C17" t="s">
        <v>910</v>
      </c>
      <c r="D17">
        <v>67008</v>
      </c>
    </row>
    <row r="18" spans="1:5" x14ac:dyDescent="0.35">
      <c r="A18" t="s">
        <v>913</v>
      </c>
      <c r="B18" t="s">
        <v>914</v>
      </c>
      <c r="C18" t="s">
        <v>915</v>
      </c>
      <c r="D18">
        <v>56304</v>
      </c>
      <c r="E18">
        <v>1</v>
      </c>
    </row>
    <row r="19" spans="1:5" x14ac:dyDescent="0.35">
      <c r="A19" t="s">
        <v>916</v>
      </c>
      <c r="B19" t="s">
        <v>917</v>
      </c>
      <c r="C19">
        <v>12</v>
      </c>
      <c r="D19">
        <v>12.5</v>
      </c>
      <c r="E19">
        <v>9</v>
      </c>
    </row>
  </sheetData>
  <autoFilter ref="H1:J1" xr:uid="{01D22667-71F7-491D-BF6B-3977F6433349}">
    <sortState xmlns:xlrd2="http://schemas.microsoft.com/office/spreadsheetml/2017/richdata2" ref="H2:J21">
      <sortCondition ref="I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2797-19ED-40AB-813F-7CD5A83535B2}">
  <sheetPr codeName="Sheet9">
    <tabColor rgb="FFFFC000"/>
  </sheetPr>
  <dimension ref="A1:Y134"/>
  <sheetViews>
    <sheetView tabSelected="1" topLeftCell="C1" zoomScale="70" zoomScaleNormal="70" workbookViewId="0">
      <pane ySplit="1" topLeftCell="A2" activePane="bottomLeft" state="frozen"/>
      <selection pane="bottomLeft" activeCell="U1" sqref="U1"/>
    </sheetView>
  </sheetViews>
  <sheetFormatPr defaultRowHeight="14.5" x14ac:dyDescent="0.35"/>
  <cols>
    <col min="1" max="3" width="9.08984375" customWidth="1"/>
    <col min="4" max="5" width="9.08984375" style="1" customWidth="1"/>
    <col min="6" max="9" width="9.08984375" customWidth="1"/>
    <col min="10" max="10" width="9.08984375" style="1" customWidth="1"/>
    <col min="11" max="11" width="11.36328125" style="1" customWidth="1"/>
    <col min="12" max="12" width="11.36328125" customWidth="1"/>
    <col min="13" max="14" width="11.36328125" style="1" customWidth="1"/>
    <col min="15" max="16" width="6.90625" customWidth="1"/>
    <col min="17" max="20" width="12.36328125" customWidth="1"/>
  </cols>
  <sheetData>
    <row r="1" spans="1:25" ht="24" x14ac:dyDescent="0.35">
      <c r="A1" s="18" t="s">
        <v>295</v>
      </c>
      <c r="B1" s="18" t="s">
        <v>296</v>
      </c>
      <c r="C1" s="18" t="s">
        <v>305</v>
      </c>
      <c r="D1" s="19" t="s">
        <v>387</v>
      </c>
      <c r="E1" s="19" t="s">
        <v>300</v>
      </c>
      <c r="F1" s="18" t="s">
        <v>301</v>
      </c>
      <c r="G1" s="18" t="s">
        <v>302</v>
      </c>
      <c r="H1" s="18" t="s">
        <v>303</v>
      </c>
      <c r="I1" s="19" t="s">
        <v>298</v>
      </c>
      <c r="J1" s="19" t="s">
        <v>299</v>
      </c>
      <c r="K1" s="20" t="s">
        <v>308</v>
      </c>
      <c r="L1" s="20" t="s">
        <v>304</v>
      </c>
      <c r="M1" s="20" t="s">
        <v>311</v>
      </c>
      <c r="N1" s="20" t="s">
        <v>312</v>
      </c>
      <c r="O1" s="23" t="s">
        <v>349</v>
      </c>
      <c r="P1" s="23" t="s">
        <v>350</v>
      </c>
      <c r="Q1" s="21" t="s">
        <v>346</v>
      </c>
      <c r="R1" s="21" t="s">
        <v>1</v>
      </c>
      <c r="S1" s="21" t="s">
        <v>297</v>
      </c>
      <c r="T1" s="21" t="s">
        <v>347</v>
      </c>
      <c r="U1" s="22">
        <f ca="1">COUNTIFS(Q:Q,"Notificar")</f>
        <v>49</v>
      </c>
      <c r="V1" s="22">
        <f ca="1">COUNTIFS(P:P,"Reiniciar")</f>
        <v>3</v>
      </c>
      <c r="X1" t="s">
        <v>391</v>
      </c>
      <c r="Y1">
        <f>COUNTIFS(H:H,X1)</f>
        <v>0</v>
      </c>
    </row>
    <row r="2" spans="1:25" x14ac:dyDescent="0.35">
      <c r="A2" s="12" t="s">
        <v>383</v>
      </c>
      <c r="B2" s="12" t="s">
        <v>760</v>
      </c>
      <c r="C2" s="12" t="s">
        <v>758</v>
      </c>
      <c r="D2" s="12" t="s">
        <v>410</v>
      </c>
      <c r="E2" s="12" t="s">
        <v>250</v>
      </c>
      <c r="F2" s="11" t="s">
        <v>762</v>
      </c>
      <c r="J2" s="13">
        <v>15</v>
      </c>
      <c r="K2" s="15">
        <f t="shared" ref="K2:K33" ca="1" si="0">IF(I2="",IF(TODAY()&lt;=(DATE(YEAR(TODAY()),MONTH(TODAY()),J2)),DATE(YEAR(TODAY()),MONTH(TODAY()),J2),DATE(YEAR(TODAY()),MONTH(TODAY())+1,J2)),I2)</f>
        <v>46006</v>
      </c>
      <c r="L2" s="16">
        <f t="shared" ref="L2:L33" ca="1" si="1">(K2-TODAY())</f>
        <v>26</v>
      </c>
      <c r="M2" s="15">
        <f ca="1">IF(OR(B2="General - Recoradorio Exclusiones",B2="General - Recoradorio Exclusiones"),IF(WEEKDAY(K2,2)=6,(K2-VLOOKUP(B2,'-'!A:B,2,0)),IF(WEEKDAY(K2,2)=7,(K2-VLOOKUP(B2,'-'!A:B,2,0)),(K2-VLOOKUP(B2,'-'!A:B,2,0)))),IF(WEEKDAY(K2,2)=6,(K2-VLOOKUP(B2,'-'!A:B,2,0))-1,IF(WEEKDAY(K2,2)=7,(K2-VLOOKUP(B2,'-'!A:B,2,0))-2,(K2-VLOOKUP(B2,'-'!A:B,2,0)))))</f>
        <v>46004</v>
      </c>
      <c r="N2" s="16">
        <f t="shared" ref="N2:N33" ca="1" si="2">MAX(0,M2-TODAY())</f>
        <v>24</v>
      </c>
      <c r="O2" s="16" t="str">
        <f>"X"</f>
        <v>X</v>
      </c>
      <c r="P2" s="16" t="str">
        <f t="shared" ref="P2:P33" ca="1" si="3">IF(AND(N2&lt;&gt;0,O2="X"),"Reiniciar","")</f>
        <v>Reiniciar</v>
      </c>
      <c r="Q2" s="16" t="str">
        <f t="shared" ref="Q2:Q33" ca="1" si="4">IF(N2=0,IF(O2="","Notificar",""),"")</f>
        <v/>
      </c>
      <c r="R2" s="17" t="str">
        <f ca="1">IF(Q2="","",VLOOKUP(A2&amp;C2,'-'!D:E,2,0))</f>
        <v/>
      </c>
      <c r="S2" s="17" t="str">
        <f t="shared" ref="S2:S33" ca="1" si="5">IF(R2="","",IF(ISERROR(SEARCH("General",B2)),IF(ISERROR(SEARCH("caducidad",B2)),B2&amp;" telecomunicaciones | "&amp;C2,B2&amp;" | "&amp;D2),B2))</f>
        <v/>
      </c>
      <c r="T2" s="17" t="str">
        <f t="shared" ref="T2:T33" ca="1" si="6">IF(Q2="","",IF(ISERROR(SEARCH("General",B2)),IF(ISERROR(SEARCH("caducidad",B2)),B2&amp;" telecomunicaciones: "&amp;C2&amp;CHAR(10)&amp;E2&amp;": "&amp;D2&amp;CHAR(10)&amp;G2&amp;CHAR(10)&amp;"Fecha de pago: "&amp;IF(DAY(K2)&lt;10,"0"&amp;DAY(K2),DAY(K2))&amp;"."&amp;IF(MONTH(K2)&lt;10,"0"&amp;MONTH(K2),MONTH(K2))&amp;"."&amp;YEAR(K2)&amp;CHAR(10)&amp;CHAR(10)&amp;IF(E2="totalplay","Por favor, de ser posible busquemos la descarga directa de la plataforma del proveedor, recordemos que al pagar a tiempo se mejora el precio de factura.","Por favor, de ser posible busquemos la descarga directa de la plataforma del proveedor, evitemos recortes o perdida de servicio."),B2&amp;CHAR(10)&amp;E2&amp;CHAR(10)&amp;D2&amp;CHAR(10)&amp;"Fin de caducidad: "&amp;IF(DAY(K2)&lt;10,"0"&amp;DAY(K2),DAY(K2))&amp;"."&amp;IF(MONTH(K2)&lt;10,"0"&amp;MONTH(K2),MONTH(K2))&amp;"."&amp;YEAR(K2)&amp;CHAR(10)&amp;L2&amp;" Dias"),F2))</f>
        <v/>
      </c>
    </row>
    <row r="3" spans="1:25" x14ac:dyDescent="0.35">
      <c r="A3" s="12" t="s">
        <v>383</v>
      </c>
      <c r="B3" s="12" t="s">
        <v>384</v>
      </c>
      <c r="C3" s="12" t="s">
        <v>250</v>
      </c>
      <c r="D3" s="12" t="s">
        <v>382</v>
      </c>
      <c r="E3" s="12" t="s">
        <v>250</v>
      </c>
      <c r="F3" s="11" t="s">
        <v>385</v>
      </c>
      <c r="J3" s="13">
        <v>15</v>
      </c>
      <c r="K3" s="15">
        <f t="shared" ca="1" si="0"/>
        <v>46006</v>
      </c>
      <c r="L3" s="16">
        <f t="shared" ca="1" si="1"/>
        <v>26</v>
      </c>
      <c r="M3" s="15">
        <f ca="1">IF(OR(B3="General - Recoradorio Exclusiones",B3="General - Recoradorio Exclusiones"),IF(WEEKDAY(K3,2)=6,(K3-VLOOKUP(B3,'-'!A:B,2,0)),IF(WEEKDAY(K3,2)=7,(K3-VLOOKUP(B3,'-'!A:B,2,0)),(K3-VLOOKUP(B3,'-'!A:B,2,0)))),IF(WEEKDAY(K3,2)=6,(K3-VLOOKUP(B3,'-'!A:B,2,0))-1,IF(WEEKDAY(K3,2)=7,(K3-VLOOKUP(B3,'-'!A:B,2,0))-2,(K3-VLOOKUP(B3,'-'!A:B,2,0)))))</f>
        <v>46006</v>
      </c>
      <c r="N3" s="16">
        <f t="shared" ca="1" si="2"/>
        <v>26</v>
      </c>
      <c r="O3" s="16" t="str">
        <f>"X"</f>
        <v>X</v>
      </c>
      <c r="P3" s="16" t="str">
        <f t="shared" ca="1" si="3"/>
        <v>Reiniciar</v>
      </c>
      <c r="Q3" s="16" t="str">
        <f t="shared" ca="1" si="4"/>
        <v/>
      </c>
      <c r="R3" s="17" t="str">
        <f ca="1">IF(Q3="","",VLOOKUP(A3&amp;C3,'-'!D:E,2,0))</f>
        <v/>
      </c>
      <c r="S3" s="17" t="str">
        <f t="shared" ca="1" si="5"/>
        <v/>
      </c>
      <c r="T3" s="17" t="str">
        <f t="shared" ca="1" si="6"/>
        <v/>
      </c>
    </row>
    <row r="4" spans="1:25" x14ac:dyDescent="0.35">
      <c r="A4" s="12" t="s">
        <v>383</v>
      </c>
      <c r="B4" s="12" t="s">
        <v>384</v>
      </c>
      <c r="C4" s="12" t="s">
        <v>626</v>
      </c>
      <c r="D4" s="12" t="s">
        <v>629</v>
      </c>
      <c r="E4" s="12" t="s">
        <v>630</v>
      </c>
      <c r="F4" s="11" t="s">
        <v>627</v>
      </c>
      <c r="J4" s="13">
        <v>15</v>
      </c>
      <c r="K4" s="15">
        <f t="shared" ca="1" si="0"/>
        <v>46006</v>
      </c>
      <c r="L4" s="16">
        <f t="shared" ca="1" si="1"/>
        <v>26</v>
      </c>
      <c r="M4" s="15">
        <f ca="1">IF(OR(B4="General - Recoradorio Exclusiones",B4="General - Recoradorio Exclusiones"),IF(WEEKDAY(K4,2)=6,(K4-VLOOKUP(B4,'-'!A:B,2,0)),IF(WEEKDAY(K4,2)=7,(K4-VLOOKUP(B4,'-'!A:B,2,0)),(K4-VLOOKUP(B4,'-'!A:B,2,0)))),IF(WEEKDAY(K4,2)=6,(K4-VLOOKUP(B4,'-'!A:B,2,0))-1,IF(WEEKDAY(K4,2)=7,(K4-VLOOKUP(B4,'-'!A:B,2,0))-2,(K4-VLOOKUP(B4,'-'!A:B,2,0)))))</f>
        <v>46006</v>
      </c>
      <c r="N4" s="16">
        <f t="shared" ca="1" si="2"/>
        <v>26</v>
      </c>
      <c r="O4" s="16" t="str">
        <f>"X"</f>
        <v>X</v>
      </c>
      <c r="P4" s="16" t="str">
        <f t="shared" ca="1" si="3"/>
        <v>Reiniciar</v>
      </c>
      <c r="Q4" s="16" t="str">
        <f t="shared" ca="1" si="4"/>
        <v/>
      </c>
      <c r="R4" s="17" t="str">
        <f ca="1">IF(Q4="","",VLOOKUP(A4&amp;C4,'-'!D:E,2,0))</f>
        <v/>
      </c>
      <c r="S4" s="17" t="str">
        <f t="shared" ca="1" si="5"/>
        <v/>
      </c>
      <c r="T4" s="17" t="str">
        <f t="shared" ca="1" si="6"/>
        <v/>
      </c>
    </row>
    <row r="5" spans="1:25" x14ac:dyDescent="0.35">
      <c r="A5" s="12" t="s">
        <v>307</v>
      </c>
      <c r="B5" s="12" t="s">
        <v>306</v>
      </c>
      <c r="C5" s="12" t="s">
        <v>366</v>
      </c>
      <c r="D5" s="13">
        <v>3337944841</v>
      </c>
      <c r="E5" s="13" t="s">
        <v>14</v>
      </c>
      <c r="F5" s="11" t="s">
        <v>370</v>
      </c>
      <c r="G5" s="11" t="s">
        <v>205</v>
      </c>
      <c r="H5" s="11" t="s">
        <v>372</v>
      </c>
      <c r="I5" s="14"/>
      <c r="J5" s="24">
        <v>11</v>
      </c>
      <c r="K5" s="15">
        <f t="shared" ca="1" si="0"/>
        <v>46002</v>
      </c>
      <c r="L5" s="16">
        <f t="shared" ca="1" si="1"/>
        <v>22</v>
      </c>
      <c r="M5" s="15">
        <f ca="1">IF(OR(B5="General - Recoradorio Exclusiones",B5="General - Recoradorio Exclusiones"),IF(WEEKDAY(K5,2)=6,(K5-VLOOKUP(B5,'-'!A:B,2,0)),IF(WEEKDAY(K5,2)=7,(K5-VLOOKUP(B5,'-'!A:B,2,0)),(K5-VLOOKUP(B5,'-'!A:B,2,0)))),IF(WEEKDAY(K5,2)=6,(K5-VLOOKUP(B5,'-'!A:B,2,0))-1,IF(WEEKDAY(K5,2)=7,(K5-VLOOKUP(B5,'-'!A:B,2,0))-2,(K5-VLOOKUP(B5,'-'!A:B,2,0)))))</f>
        <v>46002</v>
      </c>
      <c r="N5" s="16">
        <f t="shared" ca="1" si="2"/>
        <v>22</v>
      </c>
      <c r="O5" s="16" t="str">
        <f>""</f>
        <v/>
      </c>
      <c r="P5" s="16" t="str">
        <f t="shared" ca="1" si="3"/>
        <v/>
      </c>
      <c r="Q5" s="16" t="str">
        <f t="shared" ca="1" si="4"/>
        <v/>
      </c>
      <c r="R5" s="17" t="str">
        <f ca="1">IF(Q5="","",VLOOKUP(A5&amp;C5,'-'!D:E,2,0))</f>
        <v/>
      </c>
      <c r="S5" s="17" t="str">
        <f t="shared" ca="1" si="5"/>
        <v/>
      </c>
      <c r="T5" s="17" t="str">
        <f t="shared" ca="1" si="6"/>
        <v/>
      </c>
    </row>
    <row r="6" spans="1:25" x14ac:dyDescent="0.35">
      <c r="A6" s="12" t="s">
        <v>307</v>
      </c>
      <c r="B6" s="12" t="s">
        <v>306</v>
      </c>
      <c r="C6" s="12" t="s">
        <v>361</v>
      </c>
      <c r="D6" s="13">
        <v>4446882659</v>
      </c>
      <c r="E6" s="13" t="s">
        <v>14</v>
      </c>
      <c r="F6" s="11" t="s">
        <v>362</v>
      </c>
      <c r="G6" s="11" t="s">
        <v>205</v>
      </c>
      <c r="H6" s="11" t="s">
        <v>364</v>
      </c>
      <c r="I6" s="14"/>
      <c r="J6" s="24">
        <v>11</v>
      </c>
      <c r="K6" s="15">
        <f t="shared" ca="1" si="0"/>
        <v>46002</v>
      </c>
      <c r="L6" s="16">
        <f t="shared" ca="1" si="1"/>
        <v>22</v>
      </c>
      <c r="M6" s="15">
        <f ca="1">IF(OR(B6="General - Recoradorio Exclusiones",B6="General - Recoradorio Exclusiones"),IF(WEEKDAY(K6,2)=6,(K6-VLOOKUP(B6,'-'!A:B,2,0)),IF(WEEKDAY(K6,2)=7,(K6-VLOOKUP(B6,'-'!A:B,2,0)),(K6-VLOOKUP(B6,'-'!A:B,2,0)))),IF(WEEKDAY(K6,2)=6,(K6-VLOOKUP(B6,'-'!A:B,2,0))-1,IF(WEEKDAY(K6,2)=7,(K6-VLOOKUP(B6,'-'!A:B,2,0))-2,(K6-VLOOKUP(B6,'-'!A:B,2,0)))))</f>
        <v>46002</v>
      </c>
      <c r="N6" s="16">
        <f t="shared" ca="1" si="2"/>
        <v>22</v>
      </c>
      <c r="O6" s="16" t="str">
        <f>""</f>
        <v/>
      </c>
      <c r="P6" s="16" t="str">
        <f t="shared" ca="1" si="3"/>
        <v/>
      </c>
      <c r="Q6" s="16" t="str">
        <f t="shared" ca="1" si="4"/>
        <v/>
      </c>
      <c r="R6" s="17" t="str">
        <f ca="1">IF(Q6="","",VLOOKUP(A6&amp;C6,'-'!D:E,2,0))</f>
        <v/>
      </c>
      <c r="S6" s="17" t="str">
        <f t="shared" ca="1" si="5"/>
        <v/>
      </c>
      <c r="T6" s="17" t="str">
        <f t="shared" ca="1" si="6"/>
        <v/>
      </c>
    </row>
    <row r="7" spans="1:25" x14ac:dyDescent="0.35">
      <c r="A7" s="12" t="s">
        <v>307</v>
      </c>
      <c r="B7" s="12" t="s">
        <v>306</v>
      </c>
      <c r="C7" s="12" t="s">
        <v>241</v>
      </c>
      <c r="D7" s="13">
        <v>5555792085</v>
      </c>
      <c r="E7" s="13" t="s">
        <v>14</v>
      </c>
      <c r="F7" s="11" t="s">
        <v>284</v>
      </c>
      <c r="G7" s="11" t="s">
        <v>195</v>
      </c>
      <c r="H7" s="11" t="s">
        <v>190</v>
      </c>
      <c r="I7" s="14"/>
      <c r="J7" s="13">
        <v>11</v>
      </c>
      <c r="K7" s="15">
        <f t="shared" ca="1" si="0"/>
        <v>46002</v>
      </c>
      <c r="L7" s="16">
        <f t="shared" ca="1" si="1"/>
        <v>22</v>
      </c>
      <c r="M7" s="15">
        <f ca="1">IF(OR(B7="General - Recoradorio Exclusiones",B7="General - Recoradorio Exclusiones"),IF(WEEKDAY(K7,2)=6,(K7-VLOOKUP(B7,'-'!A:B,2,0)),IF(WEEKDAY(K7,2)=7,(K7-VLOOKUP(B7,'-'!A:B,2,0)),(K7-VLOOKUP(B7,'-'!A:B,2,0)))),IF(WEEKDAY(K7,2)=6,(K7-VLOOKUP(B7,'-'!A:B,2,0))-1,IF(WEEKDAY(K7,2)=7,(K7-VLOOKUP(B7,'-'!A:B,2,0))-2,(K7-VLOOKUP(B7,'-'!A:B,2,0)))))</f>
        <v>46002</v>
      </c>
      <c r="N7" s="16">
        <f t="shared" ca="1" si="2"/>
        <v>22</v>
      </c>
      <c r="O7" s="16" t="str">
        <f>""</f>
        <v/>
      </c>
      <c r="P7" s="16" t="str">
        <f t="shared" ca="1" si="3"/>
        <v/>
      </c>
      <c r="Q7" s="16" t="str">
        <f t="shared" ca="1" si="4"/>
        <v/>
      </c>
      <c r="R7" s="17" t="str">
        <f ca="1">IF(Q7="","",VLOOKUP(A7&amp;C7,'-'!D:E,2,0))</f>
        <v/>
      </c>
      <c r="S7" s="17" t="str">
        <f t="shared" ca="1" si="5"/>
        <v/>
      </c>
      <c r="T7" s="17" t="str">
        <f t="shared" ca="1" si="6"/>
        <v/>
      </c>
    </row>
    <row r="8" spans="1:25" x14ac:dyDescent="0.35">
      <c r="A8" s="12" t="s">
        <v>307</v>
      </c>
      <c r="B8" s="12" t="s">
        <v>306</v>
      </c>
      <c r="C8" s="12" t="s">
        <v>243</v>
      </c>
      <c r="D8" s="13">
        <v>5556780354</v>
      </c>
      <c r="E8" s="13" t="s">
        <v>14</v>
      </c>
      <c r="F8" s="11" t="s">
        <v>286</v>
      </c>
      <c r="G8" s="11" t="s">
        <v>186</v>
      </c>
      <c r="H8" s="11" t="s">
        <v>190</v>
      </c>
      <c r="I8" s="14"/>
      <c r="J8" s="13">
        <v>11</v>
      </c>
      <c r="K8" s="15">
        <f t="shared" ca="1" si="0"/>
        <v>46002</v>
      </c>
      <c r="L8" s="16">
        <f t="shared" ca="1" si="1"/>
        <v>22</v>
      </c>
      <c r="M8" s="15">
        <f ca="1">IF(OR(B8="General - Recoradorio Exclusiones",B8="General - Recoradorio Exclusiones"),IF(WEEKDAY(K8,2)=6,(K8-VLOOKUP(B8,'-'!A:B,2,0)),IF(WEEKDAY(K8,2)=7,(K8-VLOOKUP(B8,'-'!A:B,2,0)),(K8-VLOOKUP(B8,'-'!A:B,2,0)))),IF(WEEKDAY(K8,2)=6,(K8-VLOOKUP(B8,'-'!A:B,2,0))-1,IF(WEEKDAY(K8,2)=7,(K8-VLOOKUP(B8,'-'!A:B,2,0))-2,(K8-VLOOKUP(B8,'-'!A:B,2,0)))))</f>
        <v>46002</v>
      </c>
      <c r="N8" s="16">
        <f t="shared" ca="1" si="2"/>
        <v>22</v>
      </c>
      <c r="O8" s="16" t="str">
        <f>""</f>
        <v/>
      </c>
      <c r="P8" s="16" t="str">
        <f t="shared" ca="1" si="3"/>
        <v/>
      </c>
      <c r="Q8" s="16" t="str">
        <f t="shared" ca="1" si="4"/>
        <v/>
      </c>
      <c r="R8" s="17" t="str">
        <f ca="1">IF(Q8="","",VLOOKUP(A8&amp;C8,'-'!D:E,2,0))</f>
        <v/>
      </c>
      <c r="S8" s="17" t="str">
        <f t="shared" ca="1" si="5"/>
        <v/>
      </c>
      <c r="T8" s="17" t="str">
        <f t="shared" ca="1" si="6"/>
        <v/>
      </c>
    </row>
    <row r="9" spans="1:25" x14ac:dyDescent="0.35">
      <c r="A9" s="12" t="s">
        <v>307</v>
      </c>
      <c r="B9" s="12" t="s">
        <v>306</v>
      </c>
      <c r="C9" s="12" t="s">
        <v>193</v>
      </c>
      <c r="D9" s="13">
        <v>5556407107</v>
      </c>
      <c r="E9" s="13" t="s">
        <v>14</v>
      </c>
      <c r="F9" s="11" t="s">
        <v>258</v>
      </c>
      <c r="G9" s="11" t="s">
        <v>186</v>
      </c>
      <c r="H9" s="11" t="s">
        <v>194</v>
      </c>
      <c r="I9" s="14"/>
      <c r="J9" s="13">
        <v>12</v>
      </c>
      <c r="K9" s="15">
        <f t="shared" ca="1" si="0"/>
        <v>46003</v>
      </c>
      <c r="L9" s="16">
        <f t="shared" ca="1" si="1"/>
        <v>23</v>
      </c>
      <c r="M9" s="15">
        <f ca="1">IF(OR(B9="General - Recoradorio Exclusiones",B9="General - Recoradorio Exclusiones"),IF(WEEKDAY(K9,2)=6,(K9-VLOOKUP(B9,'-'!A:B,2,0)),IF(WEEKDAY(K9,2)=7,(K9-VLOOKUP(B9,'-'!A:B,2,0)),(K9-VLOOKUP(B9,'-'!A:B,2,0)))),IF(WEEKDAY(K9,2)=6,(K9-VLOOKUP(B9,'-'!A:B,2,0))-1,IF(WEEKDAY(K9,2)=7,(K9-VLOOKUP(B9,'-'!A:B,2,0))-2,(K9-VLOOKUP(B9,'-'!A:B,2,0)))))</f>
        <v>46003</v>
      </c>
      <c r="N9" s="16">
        <f t="shared" ca="1" si="2"/>
        <v>23</v>
      </c>
      <c r="O9" s="16" t="str">
        <f>""</f>
        <v/>
      </c>
      <c r="P9" s="16" t="str">
        <f t="shared" ca="1" si="3"/>
        <v/>
      </c>
      <c r="Q9" s="16" t="str">
        <f t="shared" ca="1" si="4"/>
        <v/>
      </c>
      <c r="R9" s="17" t="str">
        <f ca="1">IF(Q9="","",VLOOKUP(A9&amp;C9,'-'!D:E,2,0))</f>
        <v/>
      </c>
      <c r="S9" s="17" t="str">
        <f t="shared" ca="1" si="5"/>
        <v/>
      </c>
      <c r="T9" s="17" t="str">
        <f t="shared" ca="1" si="6"/>
        <v/>
      </c>
    </row>
    <row r="10" spans="1:25" x14ac:dyDescent="0.35">
      <c r="A10" s="12" t="s">
        <v>307</v>
      </c>
      <c r="B10" s="12" t="s">
        <v>306</v>
      </c>
      <c r="C10" s="12" t="s">
        <v>238</v>
      </c>
      <c r="D10" s="13">
        <v>5525918671</v>
      </c>
      <c r="E10" s="13" t="s">
        <v>14</v>
      </c>
      <c r="F10" s="11" t="s">
        <v>281</v>
      </c>
      <c r="G10" s="11" t="s">
        <v>16</v>
      </c>
      <c r="H10" s="11" t="s">
        <v>190</v>
      </c>
      <c r="I10" s="14"/>
      <c r="J10" s="13">
        <v>13</v>
      </c>
      <c r="K10" s="15">
        <f t="shared" ca="1" si="0"/>
        <v>46004</v>
      </c>
      <c r="L10" s="16">
        <f t="shared" ca="1" si="1"/>
        <v>24</v>
      </c>
      <c r="M10" s="15">
        <f ca="1">IF(OR(B10="General - Recoradorio Exclusiones",B10="General - Recoradorio Exclusiones"),IF(WEEKDAY(K10,2)=6,(K10-VLOOKUP(B10,'-'!A:B,2,0)),IF(WEEKDAY(K10,2)=7,(K10-VLOOKUP(B10,'-'!A:B,2,0)),(K10-VLOOKUP(B10,'-'!A:B,2,0)))),IF(WEEKDAY(K10,2)=6,(K10-VLOOKUP(B10,'-'!A:B,2,0))-1,IF(WEEKDAY(K10,2)=7,(K10-VLOOKUP(B10,'-'!A:B,2,0))-2,(K10-VLOOKUP(B10,'-'!A:B,2,0)))))</f>
        <v>46003</v>
      </c>
      <c r="N10" s="16">
        <f t="shared" ca="1" si="2"/>
        <v>23</v>
      </c>
      <c r="O10" s="16" t="str">
        <f>""</f>
        <v/>
      </c>
      <c r="P10" s="16" t="str">
        <f t="shared" ca="1" si="3"/>
        <v/>
      </c>
      <c r="Q10" s="16" t="str">
        <f t="shared" ca="1" si="4"/>
        <v/>
      </c>
      <c r="R10" s="17" t="str">
        <f ca="1">IF(Q10="","",VLOOKUP(A10&amp;C10,'-'!D:E,2,0))</f>
        <v/>
      </c>
      <c r="S10" s="17" t="str">
        <f t="shared" ca="1" si="5"/>
        <v/>
      </c>
      <c r="T10" s="17" t="str">
        <f t="shared" ca="1" si="6"/>
        <v/>
      </c>
    </row>
    <row r="11" spans="1:25" x14ac:dyDescent="0.35">
      <c r="A11" s="12" t="s">
        <v>307</v>
      </c>
      <c r="B11" s="12" t="s">
        <v>306</v>
      </c>
      <c r="C11" s="12" t="s">
        <v>217</v>
      </c>
      <c r="D11" s="13" t="s">
        <v>218</v>
      </c>
      <c r="E11" s="13" t="s">
        <v>15</v>
      </c>
      <c r="F11" s="11" t="s">
        <v>269</v>
      </c>
      <c r="G11" s="11" t="s">
        <v>219</v>
      </c>
      <c r="H11" s="11" t="s">
        <v>190</v>
      </c>
      <c r="I11" s="14"/>
      <c r="J11" s="13">
        <v>12</v>
      </c>
      <c r="K11" s="15">
        <f t="shared" ca="1" si="0"/>
        <v>46003</v>
      </c>
      <c r="L11" s="16">
        <f t="shared" ca="1" si="1"/>
        <v>23</v>
      </c>
      <c r="M11" s="15">
        <f ca="1">IF(OR(B11="General - Recoradorio Exclusiones",B11="General - Recoradorio Exclusiones"),IF(WEEKDAY(K11,2)=6,(K11-VLOOKUP(B11,'-'!A:B,2,0)),IF(WEEKDAY(K11,2)=7,(K11-VLOOKUP(B11,'-'!A:B,2,0)),(K11-VLOOKUP(B11,'-'!A:B,2,0)))),IF(WEEKDAY(K11,2)=6,(K11-VLOOKUP(B11,'-'!A:B,2,0))-1,IF(WEEKDAY(K11,2)=7,(K11-VLOOKUP(B11,'-'!A:B,2,0))-2,(K11-VLOOKUP(B11,'-'!A:B,2,0)))))</f>
        <v>46003</v>
      </c>
      <c r="N11" s="16">
        <f t="shared" ca="1" si="2"/>
        <v>23</v>
      </c>
      <c r="O11" s="16" t="str">
        <f>""</f>
        <v/>
      </c>
      <c r="P11" s="16" t="str">
        <f t="shared" ca="1" si="3"/>
        <v/>
      </c>
      <c r="Q11" s="16" t="str">
        <f t="shared" ca="1" si="4"/>
        <v/>
      </c>
      <c r="R11" s="17" t="str">
        <f ca="1">IF(Q11="","",VLOOKUP(A11&amp;C11,'-'!D:E,2,0))</f>
        <v/>
      </c>
      <c r="S11" s="17" t="str">
        <f t="shared" ca="1" si="5"/>
        <v/>
      </c>
      <c r="T11" s="17" t="str">
        <f t="shared" ca="1" si="6"/>
        <v/>
      </c>
    </row>
    <row r="12" spans="1:25" x14ac:dyDescent="0.35">
      <c r="A12" s="12" t="s">
        <v>307</v>
      </c>
      <c r="B12" s="12" t="s">
        <v>306</v>
      </c>
      <c r="C12" s="12" t="s">
        <v>241</v>
      </c>
      <c r="D12" s="13" t="s">
        <v>242</v>
      </c>
      <c r="E12" s="13" t="s">
        <v>15</v>
      </c>
      <c r="F12" s="11" t="s">
        <v>283</v>
      </c>
      <c r="G12" s="11" t="s">
        <v>209</v>
      </c>
      <c r="H12" s="11" t="s">
        <v>190</v>
      </c>
      <c r="I12" s="14"/>
      <c r="J12" s="13">
        <v>12</v>
      </c>
      <c r="K12" s="15">
        <f t="shared" ca="1" si="0"/>
        <v>46003</v>
      </c>
      <c r="L12" s="16">
        <f t="shared" ca="1" si="1"/>
        <v>23</v>
      </c>
      <c r="M12" s="15">
        <f ca="1">IF(OR(B12="General - Recoradorio Exclusiones",B12="General - Recoradorio Exclusiones"),IF(WEEKDAY(K12,2)=6,(K12-VLOOKUP(B12,'-'!A:B,2,0)),IF(WEEKDAY(K12,2)=7,(K12-VLOOKUP(B12,'-'!A:B,2,0)),(K12-VLOOKUP(B12,'-'!A:B,2,0)))),IF(WEEKDAY(K12,2)=6,(K12-VLOOKUP(B12,'-'!A:B,2,0))-1,IF(WEEKDAY(K12,2)=7,(K12-VLOOKUP(B12,'-'!A:B,2,0))-2,(K12-VLOOKUP(B12,'-'!A:B,2,0)))))</f>
        <v>46003</v>
      </c>
      <c r="N12" s="16">
        <f t="shared" ca="1" si="2"/>
        <v>23</v>
      </c>
      <c r="O12" s="16" t="str">
        <f>""</f>
        <v/>
      </c>
      <c r="P12" s="16" t="str">
        <f t="shared" ca="1" si="3"/>
        <v/>
      </c>
      <c r="Q12" s="16" t="str">
        <f t="shared" ca="1" si="4"/>
        <v/>
      </c>
      <c r="R12" s="17" t="str">
        <f ca="1">IF(Q12="","",VLOOKUP(A12&amp;C12,'-'!D:E,2,0))</f>
        <v/>
      </c>
      <c r="S12" s="17" t="str">
        <f t="shared" ca="1" si="5"/>
        <v/>
      </c>
      <c r="T12" s="17" t="str">
        <f t="shared" ca="1" si="6"/>
        <v/>
      </c>
    </row>
    <row r="13" spans="1:25" x14ac:dyDescent="0.35">
      <c r="A13" s="12" t="s">
        <v>307</v>
      </c>
      <c r="B13" s="12" t="s">
        <v>306</v>
      </c>
      <c r="C13" s="12" t="s">
        <v>235</v>
      </c>
      <c r="D13" s="13" t="s">
        <v>236</v>
      </c>
      <c r="E13" s="13" t="s">
        <v>15</v>
      </c>
      <c r="F13" s="11" t="s">
        <v>279</v>
      </c>
      <c r="G13" s="11" t="s">
        <v>237</v>
      </c>
      <c r="H13" s="11" t="s">
        <v>190</v>
      </c>
      <c r="I13" s="14"/>
      <c r="J13" s="13">
        <v>10</v>
      </c>
      <c r="K13" s="15">
        <f t="shared" ca="1" si="0"/>
        <v>46001</v>
      </c>
      <c r="L13" s="16">
        <f t="shared" ca="1" si="1"/>
        <v>21</v>
      </c>
      <c r="M13" s="15">
        <f ca="1">IF(OR(B13="General - Recoradorio Exclusiones",B13="General - Recoradorio Exclusiones"),IF(WEEKDAY(K13,2)=6,(K13-VLOOKUP(B13,'-'!A:B,2,0)),IF(WEEKDAY(K13,2)=7,(K13-VLOOKUP(B13,'-'!A:B,2,0)),(K13-VLOOKUP(B13,'-'!A:B,2,0)))),IF(WEEKDAY(K13,2)=6,(K13-VLOOKUP(B13,'-'!A:B,2,0))-1,IF(WEEKDAY(K13,2)=7,(K13-VLOOKUP(B13,'-'!A:B,2,0))-2,(K13-VLOOKUP(B13,'-'!A:B,2,0)))))</f>
        <v>46001</v>
      </c>
      <c r="N13" s="16">
        <f t="shared" ca="1" si="2"/>
        <v>21</v>
      </c>
      <c r="O13" s="16" t="str">
        <f>""</f>
        <v/>
      </c>
      <c r="P13" s="16" t="str">
        <f t="shared" ca="1" si="3"/>
        <v/>
      </c>
      <c r="Q13" s="16" t="str">
        <f t="shared" ca="1" si="4"/>
        <v/>
      </c>
      <c r="R13" s="17" t="str">
        <f ca="1">IF(Q13="","",VLOOKUP(A13&amp;C13,'-'!D:E,2,0))</f>
        <v/>
      </c>
      <c r="S13" s="17" t="str">
        <f t="shared" ca="1" si="5"/>
        <v/>
      </c>
      <c r="T13" s="17" t="str">
        <f t="shared" ca="1" si="6"/>
        <v/>
      </c>
    </row>
    <row r="14" spans="1:25" x14ac:dyDescent="0.35">
      <c r="A14" s="12" t="s">
        <v>307</v>
      </c>
      <c r="B14" s="12" t="s">
        <v>306</v>
      </c>
      <c r="C14" s="12" t="s">
        <v>212</v>
      </c>
      <c r="D14" s="13" t="s">
        <v>213</v>
      </c>
      <c r="E14" s="13" t="s">
        <v>15</v>
      </c>
      <c r="F14" s="11" t="s">
        <v>267</v>
      </c>
      <c r="G14" s="11" t="s">
        <v>204</v>
      </c>
      <c r="H14" s="11" t="s">
        <v>190</v>
      </c>
      <c r="I14" s="14"/>
      <c r="J14" s="13">
        <v>10</v>
      </c>
      <c r="K14" s="15">
        <f t="shared" ca="1" si="0"/>
        <v>46001</v>
      </c>
      <c r="L14" s="16">
        <f t="shared" ca="1" si="1"/>
        <v>21</v>
      </c>
      <c r="M14" s="15">
        <f ca="1">IF(OR(B14="General - Recoradorio Exclusiones",B14="General - Recoradorio Exclusiones"),IF(WEEKDAY(K14,2)=6,(K14-VLOOKUP(B14,'-'!A:B,2,0)),IF(WEEKDAY(K14,2)=7,(K14-VLOOKUP(B14,'-'!A:B,2,0)),(K14-VLOOKUP(B14,'-'!A:B,2,0)))),IF(WEEKDAY(K14,2)=6,(K14-VLOOKUP(B14,'-'!A:B,2,0))-1,IF(WEEKDAY(K14,2)=7,(K14-VLOOKUP(B14,'-'!A:B,2,0))-2,(K14-VLOOKUP(B14,'-'!A:B,2,0)))))</f>
        <v>46001</v>
      </c>
      <c r="N14" s="16">
        <f t="shared" ca="1" si="2"/>
        <v>21</v>
      </c>
      <c r="O14" s="16" t="str">
        <f>""</f>
        <v/>
      </c>
      <c r="P14" s="16" t="str">
        <f t="shared" ca="1" si="3"/>
        <v/>
      </c>
      <c r="Q14" s="16" t="str">
        <f t="shared" ca="1" si="4"/>
        <v/>
      </c>
      <c r="R14" s="17" t="str">
        <f ca="1">IF(Q14="","",VLOOKUP(A14&amp;C14,'-'!D:E,2,0))</f>
        <v/>
      </c>
      <c r="S14" s="17" t="str">
        <f t="shared" ca="1" si="5"/>
        <v/>
      </c>
      <c r="T14" s="17" t="str">
        <f t="shared" ca="1" si="6"/>
        <v/>
      </c>
    </row>
    <row r="15" spans="1:25" x14ac:dyDescent="0.35">
      <c r="A15" s="12" t="s">
        <v>307</v>
      </c>
      <c r="B15" s="12" t="s">
        <v>306</v>
      </c>
      <c r="C15" s="12" t="s">
        <v>245</v>
      </c>
      <c r="D15" s="13">
        <v>5555807339</v>
      </c>
      <c r="E15" s="13" t="s">
        <v>14</v>
      </c>
      <c r="F15" s="11" t="s">
        <v>288</v>
      </c>
      <c r="G15" s="11" t="s">
        <v>16</v>
      </c>
      <c r="H15" s="11" t="s">
        <v>246</v>
      </c>
      <c r="I15" s="14"/>
      <c r="J15" s="13">
        <v>10</v>
      </c>
      <c r="K15" s="15">
        <f t="shared" ca="1" si="0"/>
        <v>46001</v>
      </c>
      <c r="L15" s="16">
        <f t="shared" ca="1" si="1"/>
        <v>21</v>
      </c>
      <c r="M15" s="15">
        <f ca="1">IF(OR(B15="General - Recoradorio Exclusiones",B15="General - Recoradorio Exclusiones"),IF(WEEKDAY(K15,2)=6,(K15-VLOOKUP(B15,'-'!A:B,2,0)),IF(WEEKDAY(K15,2)=7,(K15-VLOOKUP(B15,'-'!A:B,2,0)),(K15-VLOOKUP(B15,'-'!A:B,2,0)))),IF(WEEKDAY(K15,2)=6,(K15-VLOOKUP(B15,'-'!A:B,2,0))-1,IF(WEEKDAY(K15,2)=7,(K15-VLOOKUP(B15,'-'!A:B,2,0))-2,(K15-VLOOKUP(B15,'-'!A:B,2,0)))))</f>
        <v>46001</v>
      </c>
      <c r="N15" s="16">
        <f t="shared" ca="1" si="2"/>
        <v>21</v>
      </c>
      <c r="O15" s="16" t="str">
        <f>""</f>
        <v/>
      </c>
      <c r="P15" s="16" t="str">
        <f t="shared" ca="1" si="3"/>
        <v/>
      </c>
      <c r="Q15" s="16" t="str">
        <f t="shared" ca="1" si="4"/>
        <v/>
      </c>
      <c r="R15" s="17" t="str">
        <f ca="1">IF(Q15="","",VLOOKUP(A15&amp;C15,'-'!D:E,2,0))</f>
        <v/>
      </c>
      <c r="S15" s="17" t="str">
        <f t="shared" ca="1" si="5"/>
        <v/>
      </c>
      <c r="T15" s="17" t="str">
        <f t="shared" ca="1" si="6"/>
        <v/>
      </c>
    </row>
    <row r="16" spans="1:25" x14ac:dyDescent="0.35">
      <c r="A16" s="12" t="s">
        <v>383</v>
      </c>
      <c r="B16" s="12" t="s">
        <v>760</v>
      </c>
      <c r="C16" s="12" t="s">
        <v>1022</v>
      </c>
      <c r="D16" s="12" t="s">
        <v>1023</v>
      </c>
      <c r="E16" s="12" t="s">
        <v>250</v>
      </c>
      <c r="F16" s="11" t="s">
        <v>1026</v>
      </c>
      <c r="G16" s="11"/>
      <c r="H16" s="11"/>
      <c r="I16" s="14"/>
      <c r="J16" s="13">
        <v>10</v>
      </c>
      <c r="K16" s="15">
        <f t="shared" ca="1" si="0"/>
        <v>46001</v>
      </c>
      <c r="L16" s="16">
        <f t="shared" ca="1" si="1"/>
        <v>21</v>
      </c>
      <c r="M16" s="15">
        <f ca="1">IF(OR(B16="General - Recoradorio Exclusiones",B16="General - Recoradorio Exclusiones"),IF(WEEKDAY(K16,2)=6,(K16-VLOOKUP(B16,'-'!A:B,2,0)),IF(WEEKDAY(K16,2)=7,(K16-VLOOKUP(B16,'-'!A:B,2,0)),(K16-VLOOKUP(B16,'-'!A:B,2,0)))),IF(WEEKDAY(K16,2)=6,(K16-VLOOKUP(B16,'-'!A:B,2,0))-1,IF(WEEKDAY(K16,2)=7,(K16-VLOOKUP(B16,'-'!A:B,2,0))-2,(K16-VLOOKUP(B16,'-'!A:B,2,0)))))</f>
        <v>45999</v>
      </c>
      <c r="N16" s="16">
        <f t="shared" ca="1" si="2"/>
        <v>19</v>
      </c>
      <c r="O16" s="16" t="str">
        <f>""</f>
        <v/>
      </c>
      <c r="P16" s="16" t="str">
        <f t="shared" ca="1" si="3"/>
        <v/>
      </c>
      <c r="Q16" s="16" t="str">
        <f t="shared" ca="1" si="4"/>
        <v/>
      </c>
      <c r="R16" s="17" t="str">
        <f ca="1">IF(Q16="","",VLOOKUP(A16&amp;C16,'-'!D:E,2,0))</f>
        <v/>
      </c>
      <c r="S16" s="17" t="str">
        <f t="shared" ca="1" si="5"/>
        <v/>
      </c>
      <c r="T16" s="17" t="str">
        <f t="shared" ca="1" si="6"/>
        <v/>
      </c>
    </row>
    <row r="17" spans="1:20" x14ac:dyDescent="0.35">
      <c r="A17" s="12" t="s">
        <v>307</v>
      </c>
      <c r="B17" s="12" t="s">
        <v>306</v>
      </c>
      <c r="C17" s="12" t="s">
        <v>231</v>
      </c>
      <c r="D17" s="13">
        <v>4422414942</v>
      </c>
      <c r="E17" s="13" t="s">
        <v>14</v>
      </c>
      <c r="F17" s="11" t="s">
        <v>275</v>
      </c>
      <c r="G17" s="11" t="s">
        <v>205</v>
      </c>
      <c r="H17" s="11" t="s">
        <v>188</v>
      </c>
      <c r="I17" s="14"/>
      <c r="J17" s="13">
        <v>8</v>
      </c>
      <c r="K17" s="15">
        <f t="shared" ca="1" si="0"/>
        <v>45999</v>
      </c>
      <c r="L17" s="16">
        <f t="shared" ca="1" si="1"/>
        <v>19</v>
      </c>
      <c r="M17" s="15">
        <f ca="1">IF(OR(B17="General - Recoradorio Exclusiones",B17="General - Recoradorio Exclusiones"),IF(WEEKDAY(K17,2)=6,(K17-VLOOKUP(B17,'-'!A:B,2,0)),IF(WEEKDAY(K17,2)=7,(K17-VLOOKUP(B17,'-'!A:B,2,0)),(K17-VLOOKUP(B17,'-'!A:B,2,0)))),IF(WEEKDAY(K17,2)=6,(K17-VLOOKUP(B17,'-'!A:B,2,0))-1,IF(WEEKDAY(K17,2)=7,(K17-VLOOKUP(B17,'-'!A:B,2,0))-2,(K17-VLOOKUP(B17,'-'!A:B,2,0)))))</f>
        <v>45999</v>
      </c>
      <c r="N17" s="16">
        <f t="shared" ca="1" si="2"/>
        <v>19</v>
      </c>
      <c r="O17" s="16" t="str">
        <f>""</f>
        <v/>
      </c>
      <c r="P17" s="16" t="str">
        <f t="shared" ca="1" si="3"/>
        <v/>
      </c>
      <c r="Q17" s="16" t="str">
        <f t="shared" ca="1" si="4"/>
        <v/>
      </c>
      <c r="R17" s="17" t="str">
        <f ca="1">IF(Q17="","",VLOOKUP(A17&amp;C17,'-'!D:E,2,0))</f>
        <v/>
      </c>
      <c r="S17" s="17" t="str">
        <f t="shared" ca="1" si="5"/>
        <v/>
      </c>
      <c r="T17" s="17" t="str">
        <f t="shared" ca="1" si="6"/>
        <v/>
      </c>
    </row>
    <row r="18" spans="1:20" x14ac:dyDescent="0.35">
      <c r="A18" s="12" t="s">
        <v>17</v>
      </c>
      <c r="B18" s="12" t="s">
        <v>309</v>
      </c>
      <c r="C18" s="12" t="s">
        <v>250</v>
      </c>
      <c r="D18" s="13" t="s">
        <v>113</v>
      </c>
      <c r="E18" s="13" t="s">
        <v>22</v>
      </c>
      <c r="F18" s="11"/>
      <c r="G18" s="11"/>
      <c r="H18" s="11"/>
      <c r="I18" s="14">
        <v>44798</v>
      </c>
      <c r="J18" s="13"/>
      <c r="K18" s="15">
        <f t="shared" ca="1" si="0"/>
        <v>44798</v>
      </c>
      <c r="L18" s="16">
        <f t="shared" ca="1" si="1"/>
        <v>-1182</v>
      </c>
      <c r="M18" s="15">
        <f ca="1">IF(OR(B18="General - Recoradorio Exclusiones",B18="General - Recoradorio Exclusiones"),IF(WEEKDAY(K18,2)=6,(K18-VLOOKUP(B18,'-'!A:B,2,0)),IF(WEEKDAY(K18,2)=7,(K18-VLOOKUP(B18,'-'!A:B,2,0)),(K18-VLOOKUP(B18,'-'!A:B,2,0)))),IF(WEEKDAY(K18,2)=6,(K18-VLOOKUP(B18,'-'!A:B,2,0))-1,IF(WEEKDAY(K18,2)=7,(K18-VLOOKUP(B18,'-'!A:B,2,0))-2,(K18-VLOOKUP(B18,'-'!A:B,2,0)))))</f>
        <v>44769</v>
      </c>
      <c r="N18" s="16">
        <f t="shared" ca="1" si="2"/>
        <v>0</v>
      </c>
      <c r="O18" s="16" t="str">
        <f t="shared" ref="O18:O31" si="7">"X"</f>
        <v>X</v>
      </c>
      <c r="P18" s="16" t="str">
        <f t="shared" ca="1" si="3"/>
        <v/>
      </c>
      <c r="Q18" s="16" t="str">
        <f t="shared" ca="1" si="4"/>
        <v/>
      </c>
      <c r="R18" s="17" t="str">
        <f ca="1">IF(Q18="","",VLOOKUP(A18&amp;C18,'-'!D:E,2,0))</f>
        <v/>
      </c>
      <c r="S18" s="17" t="str">
        <f t="shared" ca="1" si="5"/>
        <v/>
      </c>
      <c r="T18" s="17" t="str">
        <f t="shared" ca="1" si="6"/>
        <v/>
      </c>
    </row>
    <row r="19" spans="1:20" x14ac:dyDescent="0.35">
      <c r="A19" s="12" t="s">
        <v>17</v>
      </c>
      <c r="B19" s="12" t="s">
        <v>309</v>
      </c>
      <c r="C19" s="12" t="s">
        <v>250</v>
      </c>
      <c r="D19" s="13" t="s">
        <v>114</v>
      </c>
      <c r="E19" s="13" t="s">
        <v>22</v>
      </c>
      <c r="F19" s="11" t="s">
        <v>115</v>
      </c>
      <c r="G19" s="11" t="s">
        <v>116</v>
      </c>
      <c r="H19" s="11" t="s">
        <v>117</v>
      </c>
      <c r="I19" s="14">
        <v>44798</v>
      </c>
      <c r="J19" s="13"/>
      <c r="K19" s="15">
        <f t="shared" ca="1" si="0"/>
        <v>44798</v>
      </c>
      <c r="L19" s="16">
        <f t="shared" ca="1" si="1"/>
        <v>-1182</v>
      </c>
      <c r="M19" s="15">
        <f ca="1">IF(OR(B19="General - Recoradorio Exclusiones",B19="General - Recoradorio Exclusiones"),IF(WEEKDAY(K19,2)=6,(K19-VLOOKUP(B19,'-'!A:B,2,0)),IF(WEEKDAY(K19,2)=7,(K19-VLOOKUP(B19,'-'!A:B,2,0)),(K19-VLOOKUP(B19,'-'!A:B,2,0)))),IF(WEEKDAY(K19,2)=6,(K19-VLOOKUP(B19,'-'!A:B,2,0))-1,IF(WEEKDAY(K19,2)=7,(K19-VLOOKUP(B19,'-'!A:B,2,0))-2,(K19-VLOOKUP(B19,'-'!A:B,2,0)))))</f>
        <v>44769</v>
      </c>
      <c r="N19" s="16">
        <f t="shared" ca="1" si="2"/>
        <v>0</v>
      </c>
      <c r="O19" s="16" t="str">
        <f t="shared" si="7"/>
        <v>X</v>
      </c>
      <c r="P19" s="16" t="str">
        <f t="shared" ca="1" si="3"/>
        <v/>
      </c>
      <c r="Q19" s="16" t="str">
        <f t="shared" ca="1" si="4"/>
        <v/>
      </c>
      <c r="R19" s="17" t="str">
        <f ca="1">IF(Q19="","",VLOOKUP(A19&amp;C19,'-'!D:E,2,0))</f>
        <v/>
      </c>
      <c r="S19" s="17" t="str">
        <f t="shared" ca="1" si="5"/>
        <v/>
      </c>
      <c r="T19" s="17" t="str">
        <f t="shared" ca="1" si="6"/>
        <v/>
      </c>
    </row>
    <row r="20" spans="1:20" x14ac:dyDescent="0.35">
      <c r="A20" s="12" t="s">
        <v>383</v>
      </c>
      <c r="B20" s="12" t="s">
        <v>384</v>
      </c>
      <c r="C20" s="12" t="s">
        <v>1015</v>
      </c>
      <c r="D20" s="12" t="s">
        <v>1016</v>
      </c>
      <c r="E20" s="12" t="s">
        <v>250</v>
      </c>
      <c r="F20" s="11" t="s">
        <v>1017</v>
      </c>
      <c r="G20" s="11"/>
      <c r="H20" s="11"/>
      <c r="I20" s="14">
        <v>44829</v>
      </c>
      <c r="J20" s="13"/>
      <c r="K20" s="15">
        <f t="shared" ca="1" si="0"/>
        <v>44829</v>
      </c>
      <c r="L20" s="16">
        <f t="shared" ca="1" si="1"/>
        <v>-1151</v>
      </c>
      <c r="M20" s="15">
        <f ca="1">IF(OR(B20="General - Recoradorio Exclusiones",B20="General - Recoradorio Exclusiones"),IF(WEEKDAY(K20,2)=6,(K20-VLOOKUP(B20,'-'!A:B,2,0)),IF(WEEKDAY(K20,2)=7,(K20-VLOOKUP(B20,'-'!A:B,2,0)),(K20-VLOOKUP(B20,'-'!A:B,2,0)))),IF(WEEKDAY(K20,2)=6,(K20-VLOOKUP(B20,'-'!A:B,2,0))-1,IF(WEEKDAY(K20,2)=7,(K20-VLOOKUP(B20,'-'!A:B,2,0))-2,(K20-VLOOKUP(B20,'-'!A:B,2,0)))))</f>
        <v>44827</v>
      </c>
      <c r="N20" s="16">
        <f t="shared" ca="1" si="2"/>
        <v>0</v>
      </c>
      <c r="O20" s="16" t="str">
        <f t="shared" si="7"/>
        <v>X</v>
      </c>
      <c r="P20" s="16" t="str">
        <f t="shared" ca="1" si="3"/>
        <v/>
      </c>
      <c r="Q20" s="16" t="str">
        <f t="shared" ca="1" si="4"/>
        <v/>
      </c>
      <c r="R20" s="17" t="str">
        <f ca="1">IF(Q20="","",VLOOKUP(A20&amp;C20,'-'!D:E,2,0))</f>
        <v/>
      </c>
      <c r="S20" s="17" t="str">
        <f t="shared" ca="1" si="5"/>
        <v/>
      </c>
      <c r="T20" s="17" t="str">
        <f t="shared" ca="1" si="6"/>
        <v/>
      </c>
    </row>
    <row r="21" spans="1:20" x14ac:dyDescent="0.35">
      <c r="A21" s="12" t="s">
        <v>631</v>
      </c>
      <c r="B21" s="12" t="s">
        <v>384</v>
      </c>
      <c r="C21" s="12" t="s">
        <v>632</v>
      </c>
      <c r="D21" s="12" t="s">
        <v>633</v>
      </c>
      <c r="E21" s="12" t="s">
        <v>250</v>
      </c>
      <c r="F21" s="11" t="s">
        <v>638</v>
      </c>
      <c r="G21" s="11"/>
      <c r="H21" s="11"/>
      <c r="I21" s="14">
        <v>44829</v>
      </c>
      <c r="J21" s="13"/>
      <c r="K21" s="15">
        <f t="shared" ca="1" si="0"/>
        <v>44829</v>
      </c>
      <c r="L21" s="16">
        <f t="shared" ca="1" si="1"/>
        <v>-1151</v>
      </c>
      <c r="M21" s="15">
        <f ca="1">IF(OR(B21="General - Recoradorio Exclusiones",B21="General - Recoradorio Exclusiones"),IF(WEEKDAY(K21,2)=6,(K21-VLOOKUP(B21,'-'!A:B,2,0)),IF(WEEKDAY(K21,2)=7,(K21-VLOOKUP(B21,'-'!A:B,2,0)),(K21-VLOOKUP(B21,'-'!A:B,2,0)))),IF(WEEKDAY(K21,2)=6,(K21-VLOOKUP(B21,'-'!A:B,2,0))-1,IF(WEEKDAY(K21,2)=7,(K21-VLOOKUP(B21,'-'!A:B,2,0))-2,(K21-VLOOKUP(B21,'-'!A:B,2,0)))))</f>
        <v>44827</v>
      </c>
      <c r="N21" s="16">
        <f t="shared" ca="1" si="2"/>
        <v>0</v>
      </c>
      <c r="O21" s="16" t="str">
        <f t="shared" si="7"/>
        <v>X</v>
      </c>
      <c r="P21" s="16" t="str">
        <f t="shared" ca="1" si="3"/>
        <v/>
      </c>
      <c r="Q21" s="16" t="str">
        <f t="shared" ca="1" si="4"/>
        <v/>
      </c>
      <c r="R21" s="17" t="str">
        <f ca="1">IF(Q21="","",VLOOKUP(A21&amp;C21,'-'!D:E,2,0))</f>
        <v/>
      </c>
      <c r="S21" s="17" t="str">
        <f t="shared" ca="1" si="5"/>
        <v/>
      </c>
      <c r="T21" s="17" t="str">
        <f t="shared" ca="1" si="6"/>
        <v/>
      </c>
    </row>
    <row r="22" spans="1:20" x14ac:dyDescent="0.35">
      <c r="A22" s="12" t="s">
        <v>383</v>
      </c>
      <c r="B22" s="12" t="s">
        <v>441</v>
      </c>
      <c r="C22" s="12" t="s">
        <v>437</v>
      </c>
      <c r="D22" s="12" t="s">
        <v>454</v>
      </c>
      <c r="E22" s="12" t="s">
        <v>440</v>
      </c>
      <c r="F22" s="11" t="s">
        <v>444</v>
      </c>
      <c r="I22" s="14">
        <v>44836</v>
      </c>
      <c r="J22" s="13"/>
      <c r="K22" s="15">
        <f t="shared" ca="1" si="0"/>
        <v>44836</v>
      </c>
      <c r="L22" s="16">
        <f t="shared" ca="1" si="1"/>
        <v>-1144</v>
      </c>
      <c r="M22" s="15">
        <f ca="1">IF(OR(B22="General - Recoradorio Exclusiones",B22="General - Recoradorio Exclusiones"),IF(WEEKDAY(K22,2)=6,(K22-VLOOKUP(B22,'-'!A:B,2,0)),IF(WEEKDAY(K22,2)=7,(K22-VLOOKUP(B22,'-'!A:B,2,0)),(K22-VLOOKUP(B22,'-'!A:B,2,0)))),IF(WEEKDAY(K22,2)=6,(K22-VLOOKUP(B22,'-'!A:B,2,0))-1,IF(WEEKDAY(K22,2)=7,(K22-VLOOKUP(B22,'-'!A:B,2,0))-2,(K22-VLOOKUP(B22,'-'!A:B,2,0)))))</f>
        <v>44804</v>
      </c>
      <c r="N22" s="16">
        <f t="shared" ca="1" si="2"/>
        <v>0</v>
      </c>
      <c r="O22" s="16" t="str">
        <f t="shared" si="7"/>
        <v>X</v>
      </c>
      <c r="P22" s="16" t="str">
        <f t="shared" ca="1" si="3"/>
        <v/>
      </c>
      <c r="Q22" s="16" t="str">
        <f t="shared" ca="1" si="4"/>
        <v/>
      </c>
      <c r="R22" s="17" t="str">
        <f ca="1">IF(Q22="","",VLOOKUP(A22&amp;C22,'-'!D:E,2,0))</f>
        <v/>
      </c>
      <c r="S22" s="17" t="str">
        <f t="shared" ca="1" si="5"/>
        <v/>
      </c>
      <c r="T22" s="17" t="str">
        <f t="shared" ca="1" si="6"/>
        <v/>
      </c>
    </row>
    <row r="23" spans="1:20" x14ac:dyDescent="0.35">
      <c r="A23" s="12" t="s">
        <v>383</v>
      </c>
      <c r="B23" s="12" t="s">
        <v>441</v>
      </c>
      <c r="C23" s="12" t="s">
        <v>437</v>
      </c>
      <c r="D23" s="12" t="s">
        <v>454</v>
      </c>
      <c r="E23" s="12" t="s">
        <v>440</v>
      </c>
      <c r="F23" s="11" t="s">
        <v>445</v>
      </c>
      <c r="I23" s="14">
        <v>44836</v>
      </c>
      <c r="J23" s="13"/>
      <c r="K23" s="15">
        <f t="shared" ca="1" si="0"/>
        <v>44836</v>
      </c>
      <c r="L23" s="16">
        <f t="shared" ca="1" si="1"/>
        <v>-1144</v>
      </c>
      <c r="M23" s="15">
        <f ca="1">IF(OR(B23="General - Recoradorio Exclusiones",B23="General - Recoradorio Exclusiones"),IF(WEEKDAY(K23,2)=6,(K23-VLOOKUP(B23,'-'!A:B,2,0)),IF(WEEKDAY(K23,2)=7,(K23-VLOOKUP(B23,'-'!A:B,2,0)),(K23-VLOOKUP(B23,'-'!A:B,2,0)))),IF(WEEKDAY(K23,2)=6,(K23-VLOOKUP(B23,'-'!A:B,2,0))-1,IF(WEEKDAY(K23,2)=7,(K23-VLOOKUP(B23,'-'!A:B,2,0))-2,(K23-VLOOKUP(B23,'-'!A:B,2,0)))))</f>
        <v>44804</v>
      </c>
      <c r="N23" s="16">
        <f t="shared" ca="1" si="2"/>
        <v>0</v>
      </c>
      <c r="O23" s="16" t="str">
        <f t="shared" si="7"/>
        <v>X</v>
      </c>
      <c r="P23" s="16" t="str">
        <f t="shared" ca="1" si="3"/>
        <v/>
      </c>
      <c r="Q23" s="16" t="str">
        <f t="shared" ca="1" si="4"/>
        <v/>
      </c>
      <c r="R23" s="17" t="str">
        <f ca="1">IF(Q23="","",VLOOKUP(A23&amp;C23,'-'!D:E,2,0))</f>
        <v/>
      </c>
      <c r="S23" s="17" t="str">
        <f t="shared" ca="1" si="5"/>
        <v/>
      </c>
      <c r="T23" s="17" t="str">
        <f t="shared" ca="1" si="6"/>
        <v/>
      </c>
    </row>
    <row r="24" spans="1:20" x14ac:dyDescent="0.35">
      <c r="A24" s="12" t="s">
        <v>383</v>
      </c>
      <c r="B24" s="12" t="s">
        <v>441</v>
      </c>
      <c r="C24" s="12" t="s">
        <v>437</v>
      </c>
      <c r="D24" s="12" t="s">
        <v>454</v>
      </c>
      <c r="E24" s="12" t="s">
        <v>440</v>
      </c>
      <c r="F24" s="11" t="s">
        <v>451</v>
      </c>
      <c r="I24" s="14">
        <v>44836</v>
      </c>
      <c r="J24" s="13"/>
      <c r="K24" s="15">
        <f t="shared" ca="1" si="0"/>
        <v>44836</v>
      </c>
      <c r="L24" s="16">
        <f t="shared" ca="1" si="1"/>
        <v>-1144</v>
      </c>
      <c r="M24" s="15">
        <f ca="1">IF(OR(B24="General - Recoradorio Exclusiones",B24="General - Recoradorio Exclusiones"),IF(WEEKDAY(K24,2)=6,(K24-VLOOKUP(B24,'-'!A:B,2,0)),IF(WEEKDAY(K24,2)=7,(K24-VLOOKUP(B24,'-'!A:B,2,0)),(K24-VLOOKUP(B24,'-'!A:B,2,0)))),IF(WEEKDAY(K24,2)=6,(K24-VLOOKUP(B24,'-'!A:B,2,0))-1,IF(WEEKDAY(K24,2)=7,(K24-VLOOKUP(B24,'-'!A:B,2,0))-2,(K24-VLOOKUP(B24,'-'!A:B,2,0)))))</f>
        <v>44804</v>
      </c>
      <c r="N24" s="16">
        <f t="shared" ca="1" si="2"/>
        <v>0</v>
      </c>
      <c r="O24" s="16" t="str">
        <f t="shared" si="7"/>
        <v>X</v>
      </c>
      <c r="P24" s="16" t="str">
        <f t="shared" ca="1" si="3"/>
        <v/>
      </c>
      <c r="Q24" s="16" t="str">
        <f t="shared" ca="1" si="4"/>
        <v/>
      </c>
      <c r="R24" s="17" t="str">
        <f ca="1">IF(Q24="","",VLOOKUP(A24&amp;C24,'-'!D:E,2,0))</f>
        <v/>
      </c>
      <c r="S24" s="17" t="str">
        <f t="shared" ca="1" si="5"/>
        <v/>
      </c>
      <c r="T24" s="17" t="str">
        <f t="shared" ca="1" si="6"/>
        <v/>
      </c>
    </row>
    <row r="25" spans="1:20" x14ac:dyDescent="0.35">
      <c r="A25" s="12" t="s">
        <v>17</v>
      </c>
      <c r="B25" s="12" t="s">
        <v>309</v>
      </c>
      <c r="C25" s="12" t="s">
        <v>250</v>
      </c>
      <c r="D25" s="13" t="s">
        <v>111</v>
      </c>
      <c r="E25" s="13" t="s">
        <v>22</v>
      </c>
      <c r="F25" s="11"/>
      <c r="G25" s="11"/>
      <c r="H25" s="11"/>
      <c r="I25" s="14">
        <v>44842</v>
      </c>
      <c r="J25" s="13"/>
      <c r="K25" s="15">
        <f t="shared" ca="1" si="0"/>
        <v>44842</v>
      </c>
      <c r="L25" s="16">
        <f t="shared" ca="1" si="1"/>
        <v>-1138</v>
      </c>
      <c r="M25" s="15">
        <f ca="1">IF(OR(B25="General - Recoradorio Exclusiones",B25="General - Recoradorio Exclusiones"),IF(WEEKDAY(K25,2)=6,(K25-VLOOKUP(B25,'-'!A:B,2,0)),IF(WEEKDAY(K25,2)=7,(K25-VLOOKUP(B25,'-'!A:B,2,0)),(K25-VLOOKUP(B25,'-'!A:B,2,0)))),IF(WEEKDAY(K25,2)=6,(K25-VLOOKUP(B25,'-'!A:B,2,0))-1,IF(WEEKDAY(K25,2)=7,(K25-VLOOKUP(B25,'-'!A:B,2,0))-2,(K25-VLOOKUP(B25,'-'!A:B,2,0)))))</f>
        <v>44812</v>
      </c>
      <c r="N25" s="16">
        <f t="shared" ca="1" si="2"/>
        <v>0</v>
      </c>
      <c r="O25" s="16" t="str">
        <f t="shared" si="7"/>
        <v>X</v>
      </c>
      <c r="P25" s="16" t="str">
        <f t="shared" ca="1" si="3"/>
        <v/>
      </c>
      <c r="Q25" s="16" t="str">
        <f t="shared" ca="1" si="4"/>
        <v/>
      </c>
      <c r="R25" s="17" t="str">
        <f ca="1">IF(Q25="","",VLOOKUP(A25&amp;C25,'-'!D:E,2,0))</f>
        <v/>
      </c>
      <c r="S25" s="17" t="str">
        <f t="shared" ca="1" si="5"/>
        <v/>
      </c>
      <c r="T25" s="17" t="str">
        <f t="shared" ca="1" si="6"/>
        <v/>
      </c>
    </row>
    <row r="26" spans="1:20" x14ac:dyDescent="0.35">
      <c r="A26" s="12" t="s">
        <v>17</v>
      </c>
      <c r="B26" s="12" t="s">
        <v>309</v>
      </c>
      <c r="C26" s="12" t="s">
        <v>250</v>
      </c>
      <c r="D26" s="13" t="s">
        <v>112</v>
      </c>
      <c r="E26" s="13" t="s">
        <v>22</v>
      </c>
      <c r="F26" s="11"/>
      <c r="G26" s="11"/>
      <c r="H26" s="11"/>
      <c r="I26" s="14">
        <v>44842</v>
      </c>
      <c r="J26" s="13"/>
      <c r="K26" s="15">
        <f t="shared" ca="1" si="0"/>
        <v>44842</v>
      </c>
      <c r="L26" s="16">
        <f t="shared" ca="1" si="1"/>
        <v>-1138</v>
      </c>
      <c r="M26" s="15">
        <f ca="1">IF(OR(B26="General - Recoradorio Exclusiones",B26="General - Recoradorio Exclusiones"),IF(WEEKDAY(K26,2)=6,(K26-VLOOKUP(B26,'-'!A:B,2,0)),IF(WEEKDAY(K26,2)=7,(K26-VLOOKUP(B26,'-'!A:B,2,0)),(K26-VLOOKUP(B26,'-'!A:B,2,0)))),IF(WEEKDAY(K26,2)=6,(K26-VLOOKUP(B26,'-'!A:B,2,0))-1,IF(WEEKDAY(K26,2)=7,(K26-VLOOKUP(B26,'-'!A:B,2,0))-2,(K26-VLOOKUP(B26,'-'!A:B,2,0)))))</f>
        <v>44812</v>
      </c>
      <c r="N26" s="16">
        <f t="shared" ca="1" si="2"/>
        <v>0</v>
      </c>
      <c r="O26" s="16" t="str">
        <f t="shared" si="7"/>
        <v>X</v>
      </c>
      <c r="P26" s="16" t="str">
        <f t="shared" ca="1" si="3"/>
        <v/>
      </c>
      <c r="Q26" s="16" t="str">
        <f t="shared" ca="1" si="4"/>
        <v/>
      </c>
      <c r="R26" s="17" t="str">
        <f ca="1">IF(Q26="","",VLOOKUP(A26&amp;C26,'-'!D:E,2,0))</f>
        <v/>
      </c>
      <c r="S26" s="17" t="str">
        <f t="shared" ca="1" si="5"/>
        <v/>
      </c>
      <c r="T26" s="17" t="str">
        <f t="shared" ca="1" si="6"/>
        <v/>
      </c>
    </row>
    <row r="27" spans="1:20" x14ac:dyDescent="0.35">
      <c r="A27" s="12" t="s">
        <v>383</v>
      </c>
      <c r="B27" s="12" t="s">
        <v>441</v>
      </c>
      <c r="C27" s="12" t="s">
        <v>437</v>
      </c>
      <c r="D27" s="12" t="s">
        <v>454</v>
      </c>
      <c r="E27" s="12" t="s">
        <v>440</v>
      </c>
      <c r="F27" s="11" t="s">
        <v>452</v>
      </c>
      <c r="I27" s="14">
        <v>44846</v>
      </c>
      <c r="J27" s="13"/>
      <c r="K27" s="15">
        <f t="shared" ca="1" si="0"/>
        <v>44846</v>
      </c>
      <c r="L27" s="16">
        <f t="shared" ca="1" si="1"/>
        <v>-1134</v>
      </c>
      <c r="M27" s="15">
        <f ca="1">IF(OR(B27="General - Recoradorio Exclusiones",B27="General - Recoradorio Exclusiones"),IF(WEEKDAY(K27,2)=6,(K27-VLOOKUP(B27,'-'!A:B,2,0)),IF(WEEKDAY(K27,2)=7,(K27-VLOOKUP(B27,'-'!A:B,2,0)),(K27-VLOOKUP(B27,'-'!A:B,2,0)))),IF(WEEKDAY(K27,2)=6,(K27-VLOOKUP(B27,'-'!A:B,2,0))-1,IF(WEEKDAY(K27,2)=7,(K27-VLOOKUP(B27,'-'!A:B,2,0))-2,(K27-VLOOKUP(B27,'-'!A:B,2,0)))))</f>
        <v>44816</v>
      </c>
      <c r="N27" s="16">
        <f t="shared" ca="1" si="2"/>
        <v>0</v>
      </c>
      <c r="O27" s="16" t="str">
        <f t="shared" si="7"/>
        <v>X</v>
      </c>
      <c r="P27" s="16" t="str">
        <f t="shared" ca="1" si="3"/>
        <v/>
      </c>
      <c r="Q27" s="16" t="str">
        <f t="shared" ca="1" si="4"/>
        <v/>
      </c>
      <c r="R27" s="17" t="str">
        <f ca="1">IF(Q27="","",VLOOKUP(A27&amp;C27,'-'!D:E,2,0))</f>
        <v/>
      </c>
      <c r="S27" s="17" t="str">
        <f t="shared" ca="1" si="5"/>
        <v/>
      </c>
      <c r="T27" s="17" t="str">
        <f t="shared" ca="1" si="6"/>
        <v/>
      </c>
    </row>
    <row r="28" spans="1:20" x14ac:dyDescent="0.35">
      <c r="A28" s="12" t="s">
        <v>383</v>
      </c>
      <c r="B28" s="12" t="s">
        <v>441</v>
      </c>
      <c r="C28" s="12" t="s">
        <v>437</v>
      </c>
      <c r="D28" s="12" t="s">
        <v>454</v>
      </c>
      <c r="E28" s="12" t="s">
        <v>440</v>
      </c>
      <c r="F28" s="11" t="s">
        <v>443</v>
      </c>
      <c r="I28" s="14">
        <v>44852</v>
      </c>
      <c r="J28" s="13"/>
      <c r="K28" s="15">
        <f t="shared" ca="1" si="0"/>
        <v>44852</v>
      </c>
      <c r="L28" s="16">
        <f t="shared" ca="1" si="1"/>
        <v>-1128</v>
      </c>
      <c r="M28" s="15">
        <f ca="1">IF(OR(B28="General - Recoradorio Exclusiones",B28="General - Recoradorio Exclusiones"),IF(WEEKDAY(K28,2)=6,(K28-VLOOKUP(B28,'-'!A:B,2,0)),IF(WEEKDAY(K28,2)=7,(K28-VLOOKUP(B28,'-'!A:B,2,0)),(K28-VLOOKUP(B28,'-'!A:B,2,0)))),IF(WEEKDAY(K28,2)=6,(K28-VLOOKUP(B28,'-'!A:B,2,0))-1,IF(WEEKDAY(K28,2)=7,(K28-VLOOKUP(B28,'-'!A:B,2,0))-2,(K28-VLOOKUP(B28,'-'!A:B,2,0)))))</f>
        <v>44822</v>
      </c>
      <c r="N28" s="16">
        <f t="shared" ca="1" si="2"/>
        <v>0</v>
      </c>
      <c r="O28" s="16" t="str">
        <f t="shared" si="7"/>
        <v>X</v>
      </c>
      <c r="P28" s="16" t="str">
        <f t="shared" ca="1" si="3"/>
        <v/>
      </c>
      <c r="Q28" s="16" t="str">
        <f t="shared" ca="1" si="4"/>
        <v/>
      </c>
      <c r="R28" s="17" t="str">
        <f ca="1">IF(Q28="","",VLOOKUP(A28&amp;C28,'-'!D:E,2,0))</f>
        <v/>
      </c>
      <c r="S28" s="17" t="str">
        <f t="shared" ca="1" si="5"/>
        <v/>
      </c>
      <c r="T28" s="17" t="str">
        <f t="shared" ca="1" si="6"/>
        <v/>
      </c>
    </row>
    <row r="29" spans="1:20" x14ac:dyDescent="0.35">
      <c r="A29" s="12" t="s">
        <v>383</v>
      </c>
      <c r="B29" s="12" t="s">
        <v>441</v>
      </c>
      <c r="C29" s="12" t="s">
        <v>437</v>
      </c>
      <c r="D29" s="12" t="s">
        <v>454</v>
      </c>
      <c r="E29" s="12" t="s">
        <v>440</v>
      </c>
      <c r="F29" s="11" t="s">
        <v>447</v>
      </c>
      <c r="I29" s="14">
        <v>44852</v>
      </c>
      <c r="J29" s="13"/>
      <c r="K29" s="15">
        <f t="shared" ca="1" si="0"/>
        <v>44852</v>
      </c>
      <c r="L29" s="16">
        <f t="shared" ca="1" si="1"/>
        <v>-1128</v>
      </c>
      <c r="M29" s="15">
        <f ca="1">IF(OR(B29="General - Recoradorio Exclusiones",B29="General - Recoradorio Exclusiones"),IF(WEEKDAY(K29,2)=6,(K29-VLOOKUP(B29,'-'!A:B,2,0)),IF(WEEKDAY(K29,2)=7,(K29-VLOOKUP(B29,'-'!A:B,2,0)),(K29-VLOOKUP(B29,'-'!A:B,2,0)))),IF(WEEKDAY(K29,2)=6,(K29-VLOOKUP(B29,'-'!A:B,2,0))-1,IF(WEEKDAY(K29,2)=7,(K29-VLOOKUP(B29,'-'!A:B,2,0))-2,(K29-VLOOKUP(B29,'-'!A:B,2,0)))))</f>
        <v>44822</v>
      </c>
      <c r="N29" s="16">
        <f t="shared" ca="1" si="2"/>
        <v>0</v>
      </c>
      <c r="O29" s="16" t="str">
        <f t="shared" si="7"/>
        <v>X</v>
      </c>
      <c r="P29" s="16" t="str">
        <f t="shared" ca="1" si="3"/>
        <v/>
      </c>
      <c r="Q29" s="16" t="str">
        <f t="shared" ca="1" si="4"/>
        <v/>
      </c>
      <c r="R29" s="17" t="str">
        <f ca="1">IF(Q29="","",VLOOKUP(A29&amp;C29,'-'!D:E,2,0))</f>
        <v/>
      </c>
      <c r="S29" s="17" t="str">
        <f t="shared" ca="1" si="5"/>
        <v/>
      </c>
      <c r="T29" s="17" t="str">
        <f t="shared" ca="1" si="6"/>
        <v/>
      </c>
    </row>
    <row r="30" spans="1:20" x14ac:dyDescent="0.35">
      <c r="A30" s="12" t="s">
        <v>383</v>
      </c>
      <c r="B30" s="12" t="s">
        <v>441</v>
      </c>
      <c r="C30" s="12" t="s">
        <v>437</v>
      </c>
      <c r="D30" s="12" t="s">
        <v>454</v>
      </c>
      <c r="E30" s="12" t="s">
        <v>440</v>
      </c>
      <c r="F30" s="11" t="s">
        <v>450</v>
      </c>
      <c r="I30" s="14">
        <v>44852</v>
      </c>
      <c r="J30" s="13"/>
      <c r="K30" s="15">
        <f t="shared" ca="1" si="0"/>
        <v>44852</v>
      </c>
      <c r="L30" s="16">
        <f t="shared" ca="1" si="1"/>
        <v>-1128</v>
      </c>
      <c r="M30" s="15">
        <f ca="1">IF(OR(B30="General - Recoradorio Exclusiones",B30="General - Recoradorio Exclusiones"),IF(WEEKDAY(K30,2)=6,(K30-VLOOKUP(B30,'-'!A:B,2,0)),IF(WEEKDAY(K30,2)=7,(K30-VLOOKUP(B30,'-'!A:B,2,0)),(K30-VLOOKUP(B30,'-'!A:B,2,0)))),IF(WEEKDAY(K30,2)=6,(K30-VLOOKUP(B30,'-'!A:B,2,0))-1,IF(WEEKDAY(K30,2)=7,(K30-VLOOKUP(B30,'-'!A:B,2,0))-2,(K30-VLOOKUP(B30,'-'!A:B,2,0)))))</f>
        <v>44822</v>
      </c>
      <c r="N30" s="16">
        <f t="shared" ca="1" si="2"/>
        <v>0</v>
      </c>
      <c r="O30" s="16" t="str">
        <f t="shared" si="7"/>
        <v>X</v>
      </c>
      <c r="P30" s="16" t="str">
        <f t="shared" ca="1" si="3"/>
        <v/>
      </c>
      <c r="Q30" s="16" t="str">
        <f t="shared" ca="1" si="4"/>
        <v/>
      </c>
      <c r="R30" s="17" t="str">
        <f ca="1">IF(Q30="","",VLOOKUP(A30&amp;C30,'-'!D:E,2,0))</f>
        <v/>
      </c>
      <c r="S30" s="17" t="str">
        <f t="shared" ca="1" si="5"/>
        <v/>
      </c>
      <c r="T30" s="17" t="str">
        <f t="shared" ca="1" si="6"/>
        <v/>
      </c>
    </row>
    <row r="31" spans="1:20" x14ac:dyDescent="0.35">
      <c r="A31" s="12" t="s">
        <v>17</v>
      </c>
      <c r="B31" s="12" t="s">
        <v>309</v>
      </c>
      <c r="C31" s="12" t="s">
        <v>250</v>
      </c>
      <c r="D31" s="13" t="s">
        <v>122</v>
      </c>
      <c r="E31" s="13" t="s">
        <v>22</v>
      </c>
      <c r="F31" s="11" t="s">
        <v>123</v>
      </c>
      <c r="G31" s="11" t="s">
        <v>124</v>
      </c>
      <c r="H31" s="11" t="s">
        <v>125</v>
      </c>
      <c r="I31" s="14">
        <v>44871</v>
      </c>
      <c r="J31" s="13"/>
      <c r="K31" s="15">
        <f t="shared" ca="1" si="0"/>
        <v>44871</v>
      </c>
      <c r="L31" s="16">
        <f t="shared" ca="1" si="1"/>
        <v>-1109</v>
      </c>
      <c r="M31" s="15">
        <f ca="1">IF(OR(B31="General - Recoradorio Exclusiones",B31="General - Recoradorio Exclusiones"),IF(WEEKDAY(K31,2)=6,(K31-VLOOKUP(B31,'-'!A:B,2,0)),IF(WEEKDAY(K31,2)=7,(K31-VLOOKUP(B31,'-'!A:B,2,0)),(K31-VLOOKUP(B31,'-'!A:B,2,0)))),IF(WEEKDAY(K31,2)=6,(K31-VLOOKUP(B31,'-'!A:B,2,0))-1,IF(WEEKDAY(K31,2)=7,(K31-VLOOKUP(B31,'-'!A:B,2,0))-2,(K31-VLOOKUP(B31,'-'!A:B,2,0)))))</f>
        <v>44840</v>
      </c>
      <c r="N31" s="16">
        <f t="shared" ca="1" si="2"/>
        <v>0</v>
      </c>
      <c r="O31" s="16" t="str">
        <f t="shared" si="7"/>
        <v>X</v>
      </c>
      <c r="P31" s="16" t="str">
        <f t="shared" ca="1" si="3"/>
        <v/>
      </c>
      <c r="Q31" s="16" t="str">
        <f t="shared" ca="1" si="4"/>
        <v/>
      </c>
      <c r="R31" s="17" t="str">
        <f ca="1">IF(Q31="","",VLOOKUP(A31&amp;C31,'-'!D:E,2,0))</f>
        <v/>
      </c>
      <c r="S31" s="17" t="str">
        <f t="shared" ca="1" si="5"/>
        <v/>
      </c>
      <c r="T31" s="17" t="str">
        <f t="shared" ca="1" si="6"/>
        <v/>
      </c>
    </row>
    <row r="32" spans="1:20" x14ac:dyDescent="0.35">
      <c r="A32" s="12" t="s">
        <v>383</v>
      </c>
      <c r="B32" s="12" t="s">
        <v>384</v>
      </c>
      <c r="C32" s="12" t="s">
        <v>250</v>
      </c>
      <c r="D32" s="12" t="s">
        <v>1265</v>
      </c>
      <c r="E32" s="12" t="s">
        <v>250</v>
      </c>
      <c r="F32" s="11" t="s">
        <v>1264</v>
      </c>
      <c r="G32" s="11"/>
      <c r="H32" s="11"/>
      <c r="I32" s="14"/>
      <c r="J32" s="13">
        <v>18</v>
      </c>
      <c r="K32" s="15">
        <f t="shared" ca="1" si="0"/>
        <v>46009</v>
      </c>
      <c r="L32" s="16">
        <f t="shared" ca="1" si="1"/>
        <v>29</v>
      </c>
      <c r="M32" s="15">
        <f ca="1">IF(OR(B32="General - Recoradorio Exclusiones",B32="General - Recoradorio Exclusiones"),IF(WEEKDAY(K32,2)=6,(K32-VLOOKUP(B32,'-'!A:B,2,0)),IF(WEEKDAY(K32,2)=7,(K32-VLOOKUP(B32,'-'!A:B,2,0)),(K32-VLOOKUP(B32,'-'!A:B,2,0)))),IF(WEEKDAY(K32,2)=6,(K32-VLOOKUP(B32,'-'!A:B,2,0))-1,IF(WEEKDAY(K32,2)=7,(K32-VLOOKUP(B32,'-'!A:B,2,0))-2,(K32-VLOOKUP(B32,'-'!A:B,2,0)))))</f>
        <v>46009</v>
      </c>
      <c r="N32" s="16">
        <f t="shared" ca="1" si="2"/>
        <v>29</v>
      </c>
      <c r="O32" s="16" t="str">
        <f>""</f>
        <v/>
      </c>
      <c r="P32" s="16" t="str">
        <f t="shared" ca="1" si="3"/>
        <v/>
      </c>
      <c r="Q32" s="16" t="str">
        <f t="shared" ca="1" si="4"/>
        <v/>
      </c>
      <c r="R32" s="17" t="str">
        <f ca="1">IF(Q32="","",VLOOKUP(A32&amp;C32,'-'!D:E,2,0))</f>
        <v/>
      </c>
      <c r="S32" s="17" t="str">
        <f t="shared" ca="1" si="5"/>
        <v/>
      </c>
      <c r="T32" s="17" t="str">
        <f t="shared" ca="1" si="6"/>
        <v/>
      </c>
    </row>
    <row r="33" spans="1:20" x14ac:dyDescent="0.35">
      <c r="A33" s="12" t="s">
        <v>307</v>
      </c>
      <c r="B33" s="12" t="s">
        <v>306</v>
      </c>
      <c r="C33" s="12" t="s">
        <v>645</v>
      </c>
      <c r="D33" s="13" t="s">
        <v>706</v>
      </c>
      <c r="E33" s="13" t="s">
        <v>15</v>
      </c>
      <c r="F33" s="11" t="s">
        <v>707</v>
      </c>
      <c r="G33" s="11" t="s">
        <v>204</v>
      </c>
      <c r="H33" s="11" t="s">
        <v>708</v>
      </c>
      <c r="I33" s="14"/>
      <c r="J33" s="13">
        <v>9</v>
      </c>
      <c r="K33" s="15">
        <f t="shared" ca="1" si="0"/>
        <v>46000</v>
      </c>
      <c r="L33" s="16">
        <f t="shared" ca="1" si="1"/>
        <v>20</v>
      </c>
      <c r="M33" s="15">
        <f ca="1">IF(OR(B33="General - Recoradorio Exclusiones",B33="General - Recoradorio Exclusiones"),IF(WEEKDAY(K33,2)=6,(K33-VLOOKUP(B33,'-'!A:B,2,0)),IF(WEEKDAY(K33,2)=7,(K33-VLOOKUP(B33,'-'!A:B,2,0)),(K33-VLOOKUP(B33,'-'!A:B,2,0)))),IF(WEEKDAY(K33,2)=6,(K33-VLOOKUP(B33,'-'!A:B,2,0))-1,IF(WEEKDAY(K33,2)=7,(K33-VLOOKUP(B33,'-'!A:B,2,0))-2,(K33-VLOOKUP(B33,'-'!A:B,2,0)))))</f>
        <v>46000</v>
      </c>
      <c r="N33" s="16">
        <f t="shared" ca="1" si="2"/>
        <v>20</v>
      </c>
      <c r="O33" s="16" t="str">
        <f>""</f>
        <v/>
      </c>
      <c r="P33" s="16" t="str">
        <f t="shared" ca="1" si="3"/>
        <v/>
      </c>
      <c r="Q33" s="16" t="str">
        <f t="shared" ca="1" si="4"/>
        <v/>
      </c>
      <c r="R33" s="17" t="str">
        <f ca="1">IF(Q33="","",VLOOKUP(A33&amp;C33,'-'!D:E,2,0))</f>
        <v/>
      </c>
      <c r="S33" s="17" t="str">
        <f t="shared" ca="1" si="5"/>
        <v/>
      </c>
      <c r="T33" s="17" t="str">
        <f t="shared" ca="1" si="6"/>
        <v/>
      </c>
    </row>
    <row r="34" spans="1:20" x14ac:dyDescent="0.35">
      <c r="A34" s="12" t="s">
        <v>307</v>
      </c>
      <c r="B34" s="12" t="s">
        <v>306</v>
      </c>
      <c r="C34" s="12" t="s">
        <v>243</v>
      </c>
      <c r="D34" s="13" t="s">
        <v>244</v>
      </c>
      <c r="E34" s="13" t="s">
        <v>15</v>
      </c>
      <c r="F34" s="11" t="s">
        <v>285</v>
      </c>
      <c r="G34" s="11" t="s">
        <v>203</v>
      </c>
      <c r="H34" s="11" t="s">
        <v>190</v>
      </c>
      <c r="I34" s="14"/>
      <c r="J34" s="13">
        <v>14</v>
      </c>
      <c r="K34" s="15">
        <f t="shared" ref="K34:K65" ca="1" si="8">IF(I34="",IF(TODAY()&lt;=(DATE(YEAR(TODAY()),MONTH(TODAY()),J34)),DATE(YEAR(TODAY()),MONTH(TODAY()),J34),DATE(YEAR(TODAY()),MONTH(TODAY())+1,J34)),I34)</f>
        <v>46005</v>
      </c>
      <c r="L34" s="16">
        <f t="shared" ref="L34:L65" ca="1" si="9">(K34-TODAY())</f>
        <v>25</v>
      </c>
      <c r="M34" s="15">
        <f ca="1">IF(OR(B34="General - Recoradorio Exclusiones",B34="General - Recoradorio Exclusiones"),IF(WEEKDAY(K34,2)=6,(K34-VLOOKUP(B34,'-'!A:B,2,0)),IF(WEEKDAY(K34,2)=7,(K34-VLOOKUP(B34,'-'!A:B,2,0)),(K34-VLOOKUP(B34,'-'!A:B,2,0)))),IF(WEEKDAY(K34,2)=6,(K34-VLOOKUP(B34,'-'!A:B,2,0))-1,IF(WEEKDAY(K34,2)=7,(K34-VLOOKUP(B34,'-'!A:B,2,0))-2,(K34-VLOOKUP(B34,'-'!A:B,2,0)))))</f>
        <v>46003</v>
      </c>
      <c r="N34" s="16">
        <f t="shared" ref="N34:N65" ca="1" si="10">MAX(0,M34-TODAY())</f>
        <v>23</v>
      </c>
      <c r="O34" s="16" t="str">
        <f>""</f>
        <v/>
      </c>
      <c r="P34" s="16" t="str">
        <f t="shared" ref="P34:P65" ca="1" si="11">IF(AND(N34&lt;&gt;0,O34="X"),"Reiniciar","")</f>
        <v/>
      </c>
      <c r="Q34" s="16" t="str">
        <f t="shared" ref="Q34:Q65" ca="1" si="12">IF(N34=0,IF(O34="","Notificar",""),"")</f>
        <v/>
      </c>
      <c r="R34" s="17" t="str">
        <f ca="1">IF(Q34="","",VLOOKUP(A34&amp;C34,'-'!D:E,2,0))</f>
        <v/>
      </c>
      <c r="S34" s="17" t="str">
        <f t="shared" ref="S34:S65" ca="1" si="13">IF(R34="","",IF(ISERROR(SEARCH("General",B34)),IF(ISERROR(SEARCH("caducidad",B34)),B34&amp;" telecomunicaciones | "&amp;C34,B34&amp;" | "&amp;D34),B34))</f>
        <v/>
      </c>
      <c r="T34" s="17" t="str">
        <f t="shared" ref="T34:T65" ca="1" si="14">IF(Q34="","",IF(ISERROR(SEARCH("General",B34)),IF(ISERROR(SEARCH("caducidad",B34)),B34&amp;" telecomunicaciones: "&amp;C34&amp;CHAR(10)&amp;E34&amp;": "&amp;D34&amp;CHAR(10)&amp;G34&amp;CHAR(10)&amp;"Fecha de pago: "&amp;IF(DAY(K34)&lt;10,"0"&amp;DAY(K34),DAY(K34))&amp;"."&amp;IF(MONTH(K34)&lt;10,"0"&amp;MONTH(K34),MONTH(K34))&amp;"."&amp;YEAR(K34)&amp;CHAR(10)&amp;CHAR(10)&amp;IF(E34="totalplay","Por favor, de ser posible busquemos la descarga directa de la plataforma del proveedor, recordemos que al pagar a tiempo se mejora el precio de factura.","Por favor, de ser posible busquemos la descarga directa de la plataforma del proveedor, evitemos recortes o perdida de servicio."),B34&amp;CHAR(10)&amp;E34&amp;CHAR(10)&amp;D34&amp;CHAR(10)&amp;"Fin de caducidad: "&amp;IF(DAY(K34)&lt;10,"0"&amp;DAY(K34),DAY(K34))&amp;"."&amp;IF(MONTH(K34)&lt;10,"0"&amp;MONTH(K34),MONTH(K34))&amp;"."&amp;YEAR(K34)&amp;CHAR(10)&amp;L34&amp;" Dias"),F34))</f>
        <v/>
      </c>
    </row>
    <row r="35" spans="1:20" x14ac:dyDescent="0.35">
      <c r="A35" s="12" t="s">
        <v>307</v>
      </c>
      <c r="B35" s="12" t="s">
        <v>306</v>
      </c>
      <c r="C35" s="12" t="s">
        <v>413</v>
      </c>
      <c r="D35" s="13" t="s">
        <v>459</v>
      </c>
      <c r="E35" s="13" t="s">
        <v>15</v>
      </c>
      <c r="F35" s="11" t="s">
        <v>458</v>
      </c>
      <c r="G35" s="11" t="s">
        <v>204</v>
      </c>
      <c r="H35" s="11" t="s">
        <v>190</v>
      </c>
      <c r="I35" s="14"/>
      <c r="J35" s="13">
        <v>14</v>
      </c>
      <c r="K35" s="15">
        <f t="shared" ca="1" si="8"/>
        <v>46005</v>
      </c>
      <c r="L35" s="16">
        <f t="shared" ca="1" si="9"/>
        <v>25</v>
      </c>
      <c r="M35" s="15">
        <f ca="1">IF(OR(B35="General - Recoradorio Exclusiones",B35="General - Recoradorio Exclusiones"),IF(WEEKDAY(K35,2)=6,(K35-VLOOKUP(B35,'-'!A:B,2,0)),IF(WEEKDAY(K35,2)=7,(K35-VLOOKUP(B35,'-'!A:B,2,0)),(K35-VLOOKUP(B35,'-'!A:B,2,0)))),IF(WEEKDAY(K35,2)=6,(K35-VLOOKUP(B35,'-'!A:B,2,0))-1,IF(WEEKDAY(K35,2)=7,(K35-VLOOKUP(B35,'-'!A:B,2,0))-2,(K35-VLOOKUP(B35,'-'!A:B,2,0)))))</f>
        <v>46003</v>
      </c>
      <c r="N35" s="16">
        <f t="shared" ca="1" si="10"/>
        <v>23</v>
      </c>
      <c r="O35" s="16" t="str">
        <f>""</f>
        <v/>
      </c>
      <c r="P35" s="16" t="str">
        <f t="shared" ca="1" si="11"/>
        <v/>
      </c>
      <c r="Q35" s="16" t="str">
        <f t="shared" ca="1" si="12"/>
        <v/>
      </c>
      <c r="R35" s="17" t="str">
        <f ca="1">IF(Q35="","",VLOOKUP(A35&amp;C35,'-'!D:E,2,0))</f>
        <v/>
      </c>
      <c r="S35" s="17" t="str">
        <f t="shared" ca="1" si="13"/>
        <v/>
      </c>
      <c r="T35" s="17" t="str">
        <f t="shared" ca="1" si="14"/>
        <v/>
      </c>
    </row>
    <row r="36" spans="1:20" x14ac:dyDescent="0.35">
      <c r="A36" s="12" t="s">
        <v>307</v>
      </c>
      <c r="B36" s="12" t="s">
        <v>306</v>
      </c>
      <c r="C36" s="12" t="s">
        <v>367</v>
      </c>
      <c r="D36" s="13">
        <v>3315146015</v>
      </c>
      <c r="E36" s="13" t="s">
        <v>14</v>
      </c>
      <c r="F36" s="11" t="s">
        <v>371</v>
      </c>
      <c r="G36" s="11" t="s">
        <v>205</v>
      </c>
      <c r="H36" s="11" t="s">
        <v>372</v>
      </c>
      <c r="I36" s="14"/>
      <c r="J36" s="24">
        <v>16</v>
      </c>
      <c r="K36" s="15">
        <f t="shared" ca="1" si="8"/>
        <v>46007</v>
      </c>
      <c r="L36" s="16">
        <f t="shared" ca="1" si="9"/>
        <v>27</v>
      </c>
      <c r="M36" s="15">
        <f ca="1">IF(OR(B36="General - Recoradorio Exclusiones",B36="General - Recoradorio Exclusiones"),IF(WEEKDAY(K36,2)=6,(K36-VLOOKUP(B36,'-'!A:B,2,0)),IF(WEEKDAY(K36,2)=7,(K36-VLOOKUP(B36,'-'!A:B,2,0)),(K36-VLOOKUP(B36,'-'!A:B,2,0)))),IF(WEEKDAY(K36,2)=6,(K36-VLOOKUP(B36,'-'!A:B,2,0))-1,IF(WEEKDAY(K36,2)=7,(K36-VLOOKUP(B36,'-'!A:B,2,0))-2,(K36-VLOOKUP(B36,'-'!A:B,2,0)))))</f>
        <v>46007</v>
      </c>
      <c r="N36" s="16">
        <f t="shared" ca="1" si="10"/>
        <v>27</v>
      </c>
      <c r="O36" s="16" t="str">
        <f>""</f>
        <v/>
      </c>
      <c r="P36" s="16" t="str">
        <f t="shared" ca="1" si="11"/>
        <v/>
      </c>
      <c r="Q36" s="16" t="str">
        <f t="shared" ca="1" si="12"/>
        <v/>
      </c>
      <c r="R36" s="17" t="str">
        <f ca="1">IF(Q36="","",VLOOKUP(A36&amp;C36,'-'!D:E,2,0))</f>
        <v/>
      </c>
      <c r="S36" s="17" t="str">
        <f t="shared" ca="1" si="13"/>
        <v/>
      </c>
      <c r="T36" s="17" t="str">
        <f t="shared" ca="1" si="14"/>
        <v/>
      </c>
    </row>
    <row r="37" spans="1:20" x14ac:dyDescent="0.35">
      <c r="A37" s="12" t="s">
        <v>307</v>
      </c>
      <c r="B37" s="12" t="s">
        <v>306</v>
      </c>
      <c r="C37" s="12" t="s">
        <v>365</v>
      </c>
      <c r="D37" s="13">
        <v>3338575390</v>
      </c>
      <c r="E37" s="13" t="s">
        <v>14</v>
      </c>
      <c r="F37" s="11" t="s">
        <v>369</v>
      </c>
      <c r="G37" s="11" t="s">
        <v>205</v>
      </c>
      <c r="H37" s="11" t="s">
        <v>373</v>
      </c>
      <c r="I37" s="14"/>
      <c r="J37" s="24">
        <v>16</v>
      </c>
      <c r="K37" s="15">
        <f t="shared" ca="1" si="8"/>
        <v>46007</v>
      </c>
      <c r="L37" s="16">
        <f t="shared" ca="1" si="9"/>
        <v>27</v>
      </c>
      <c r="M37" s="15">
        <f ca="1">IF(OR(B37="General - Recoradorio Exclusiones",B37="General - Recoradorio Exclusiones"),IF(WEEKDAY(K37,2)=6,(K37-VLOOKUP(B37,'-'!A:B,2,0)),IF(WEEKDAY(K37,2)=7,(K37-VLOOKUP(B37,'-'!A:B,2,0)),(K37-VLOOKUP(B37,'-'!A:B,2,0)))),IF(WEEKDAY(K37,2)=6,(K37-VLOOKUP(B37,'-'!A:B,2,0))-1,IF(WEEKDAY(K37,2)=7,(K37-VLOOKUP(B37,'-'!A:B,2,0))-2,(K37-VLOOKUP(B37,'-'!A:B,2,0)))))</f>
        <v>46007</v>
      </c>
      <c r="N37" s="16">
        <f t="shared" ca="1" si="10"/>
        <v>27</v>
      </c>
      <c r="O37" s="16" t="str">
        <f>""</f>
        <v/>
      </c>
      <c r="P37" s="16" t="str">
        <f t="shared" ca="1" si="11"/>
        <v/>
      </c>
      <c r="Q37" s="16" t="str">
        <f t="shared" ca="1" si="12"/>
        <v/>
      </c>
      <c r="R37" s="17" t="str">
        <f ca="1">IF(Q37="","",VLOOKUP(A37&amp;C37,'-'!D:E,2,0))</f>
        <v/>
      </c>
      <c r="S37" s="17" t="str">
        <f t="shared" ca="1" si="13"/>
        <v/>
      </c>
      <c r="T37" s="17" t="str">
        <f t="shared" ca="1" si="14"/>
        <v/>
      </c>
    </row>
    <row r="38" spans="1:20" x14ac:dyDescent="0.35">
      <c r="A38" s="12" t="s">
        <v>307</v>
      </c>
      <c r="B38" s="12" t="s">
        <v>306</v>
      </c>
      <c r="C38" s="12" t="s">
        <v>361</v>
      </c>
      <c r="D38" s="13">
        <v>4446882665</v>
      </c>
      <c r="E38" s="13" t="s">
        <v>14</v>
      </c>
      <c r="F38" s="11" t="s">
        <v>363</v>
      </c>
      <c r="G38" s="11" t="s">
        <v>205</v>
      </c>
      <c r="H38" s="11" t="s">
        <v>364</v>
      </c>
      <c r="I38" s="14"/>
      <c r="J38" s="24">
        <v>16</v>
      </c>
      <c r="K38" s="15">
        <f t="shared" ca="1" si="8"/>
        <v>46007</v>
      </c>
      <c r="L38" s="16">
        <f t="shared" ca="1" si="9"/>
        <v>27</v>
      </c>
      <c r="M38" s="15">
        <f ca="1">IF(OR(B38="General - Recoradorio Exclusiones",B38="General - Recoradorio Exclusiones"),IF(WEEKDAY(K38,2)=6,(K38-VLOOKUP(B38,'-'!A:B,2,0)),IF(WEEKDAY(K38,2)=7,(K38-VLOOKUP(B38,'-'!A:B,2,0)),(K38-VLOOKUP(B38,'-'!A:B,2,0)))),IF(WEEKDAY(K38,2)=6,(K38-VLOOKUP(B38,'-'!A:B,2,0))-1,IF(WEEKDAY(K38,2)=7,(K38-VLOOKUP(B38,'-'!A:B,2,0))-2,(K38-VLOOKUP(B38,'-'!A:B,2,0)))))</f>
        <v>46007</v>
      </c>
      <c r="N38" s="16">
        <f t="shared" ca="1" si="10"/>
        <v>27</v>
      </c>
      <c r="O38" s="16" t="str">
        <f>""</f>
        <v/>
      </c>
      <c r="P38" s="16" t="str">
        <f t="shared" ca="1" si="11"/>
        <v/>
      </c>
      <c r="Q38" s="16" t="str">
        <f t="shared" ca="1" si="12"/>
        <v/>
      </c>
      <c r="R38" s="17" t="str">
        <f ca="1">IF(Q38="","",VLOOKUP(A38&amp;C38,'-'!D:E,2,0))</f>
        <v/>
      </c>
      <c r="S38" s="17" t="str">
        <f t="shared" ca="1" si="13"/>
        <v/>
      </c>
      <c r="T38" s="17" t="str">
        <f t="shared" ca="1" si="14"/>
        <v/>
      </c>
    </row>
    <row r="39" spans="1:20" x14ac:dyDescent="0.35">
      <c r="A39" s="12" t="s">
        <v>307</v>
      </c>
      <c r="B39" s="12" t="s">
        <v>306</v>
      </c>
      <c r="C39" s="12" t="s">
        <v>229</v>
      </c>
      <c r="D39" s="13" t="s">
        <v>460</v>
      </c>
      <c r="E39" s="13" t="s">
        <v>15</v>
      </c>
      <c r="F39" s="11" t="s">
        <v>274</v>
      </c>
      <c r="G39" s="11" t="s">
        <v>204</v>
      </c>
      <c r="H39" s="11" t="s">
        <v>230</v>
      </c>
      <c r="I39" s="14"/>
      <c r="J39" s="13">
        <v>17</v>
      </c>
      <c r="K39" s="15">
        <f t="shared" ca="1" si="8"/>
        <v>46008</v>
      </c>
      <c r="L39" s="16">
        <f t="shared" ca="1" si="9"/>
        <v>28</v>
      </c>
      <c r="M39" s="15">
        <f ca="1">IF(OR(B39="General - Recoradorio Exclusiones",B39="General - Recoradorio Exclusiones"),IF(WEEKDAY(K39,2)=6,(K39-VLOOKUP(B39,'-'!A:B,2,0)),IF(WEEKDAY(K39,2)=7,(K39-VLOOKUP(B39,'-'!A:B,2,0)),(K39-VLOOKUP(B39,'-'!A:B,2,0)))),IF(WEEKDAY(K39,2)=6,(K39-VLOOKUP(B39,'-'!A:B,2,0))-1,IF(WEEKDAY(K39,2)=7,(K39-VLOOKUP(B39,'-'!A:B,2,0))-2,(K39-VLOOKUP(B39,'-'!A:B,2,0)))))</f>
        <v>46008</v>
      </c>
      <c r="N39" s="16">
        <f t="shared" ca="1" si="10"/>
        <v>28</v>
      </c>
      <c r="O39" s="16" t="str">
        <f>""</f>
        <v/>
      </c>
      <c r="P39" s="16" t="str">
        <f t="shared" ca="1" si="11"/>
        <v/>
      </c>
      <c r="Q39" s="16" t="str">
        <f t="shared" ca="1" si="12"/>
        <v/>
      </c>
      <c r="R39" s="17" t="str">
        <f ca="1">IF(Q39="","",VLOOKUP(A39&amp;C39,'-'!D:E,2,0))</f>
        <v/>
      </c>
      <c r="S39" s="17" t="str">
        <f t="shared" ca="1" si="13"/>
        <v/>
      </c>
      <c r="T39" s="17" t="str">
        <f t="shared" ca="1" si="14"/>
        <v/>
      </c>
    </row>
    <row r="40" spans="1:20" x14ac:dyDescent="0.35">
      <c r="A40" s="12" t="s">
        <v>307</v>
      </c>
      <c r="B40" s="12" t="s">
        <v>306</v>
      </c>
      <c r="C40" s="12" t="s">
        <v>221</v>
      </c>
      <c r="D40" s="13">
        <v>5552509678</v>
      </c>
      <c r="E40" s="13" t="s">
        <v>14</v>
      </c>
      <c r="F40" s="11" t="s">
        <v>271</v>
      </c>
      <c r="G40" s="11" t="s">
        <v>186</v>
      </c>
      <c r="H40" s="11" t="s">
        <v>222</v>
      </c>
      <c r="I40" s="14"/>
      <c r="J40" s="13">
        <v>18</v>
      </c>
      <c r="K40" s="15">
        <f t="shared" ca="1" si="8"/>
        <v>46009</v>
      </c>
      <c r="L40" s="16">
        <f t="shared" ca="1" si="9"/>
        <v>29</v>
      </c>
      <c r="M40" s="15">
        <f ca="1">IF(OR(B40="General - Recoradorio Exclusiones",B40="General - Recoradorio Exclusiones"),IF(WEEKDAY(K40,2)=6,(K40-VLOOKUP(B40,'-'!A:B,2,0)),IF(WEEKDAY(K40,2)=7,(K40-VLOOKUP(B40,'-'!A:B,2,0)),(K40-VLOOKUP(B40,'-'!A:B,2,0)))),IF(WEEKDAY(K40,2)=6,(K40-VLOOKUP(B40,'-'!A:B,2,0))-1,IF(WEEKDAY(K40,2)=7,(K40-VLOOKUP(B40,'-'!A:B,2,0))-2,(K40-VLOOKUP(B40,'-'!A:B,2,0)))))</f>
        <v>46009</v>
      </c>
      <c r="N40" s="16">
        <f t="shared" ca="1" si="10"/>
        <v>29</v>
      </c>
      <c r="O40" s="16" t="str">
        <f>""</f>
        <v/>
      </c>
      <c r="P40" s="16" t="str">
        <f t="shared" ca="1" si="11"/>
        <v/>
      </c>
      <c r="Q40" s="16" t="str">
        <f t="shared" ca="1" si="12"/>
        <v/>
      </c>
      <c r="R40" s="17" t="str">
        <f ca="1">IF(Q40="","",VLOOKUP(A40&amp;C40,'-'!D:E,2,0))</f>
        <v/>
      </c>
      <c r="S40" s="17" t="str">
        <f t="shared" ca="1" si="13"/>
        <v/>
      </c>
      <c r="T40" s="17" t="str">
        <f t="shared" ca="1" si="14"/>
        <v/>
      </c>
    </row>
    <row r="41" spans="1:20" x14ac:dyDescent="0.35">
      <c r="A41" s="12" t="s">
        <v>307</v>
      </c>
      <c r="B41" s="12" t="s">
        <v>306</v>
      </c>
      <c r="C41" s="12" t="s">
        <v>253</v>
      </c>
      <c r="D41" s="13">
        <v>5556486080</v>
      </c>
      <c r="E41" s="13" t="s">
        <v>14</v>
      </c>
      <c r="F41" s="11" t="s">
        <v>294</v>
      </c>
      <c r="G41" s="11" t="s">
        <v>195</v>
      </c>
      <c r="H41" s="11" t="s">
        <v>254</v>
      </c>
      <c r="I41" s="14"/>
      <c r="J41" s="13">
        <v>20</v>
      </c>
      <c r="K41" s="15">
        <f t="shared" ca="1" si="8"/>
        <v>45981</v>
      </c>
      <c r="L41" s="16">
        <f t="shared" ca="1" si="9"/>
        <v>1</v>
      </c>
      <c r="M41" s="15">
        <f ca="1">IF(OR(B41="General - Recoradorio Exclusiones",B41="General - Recoradorio Exclusiones"),IF(WEEKDAY(K41,2)=6,(K41-VLOOKUP(B41,'-'!A:B,2,0)),IF(WEEKDAY(K41,2)=7,(K41-VLOOKUP(B41,'-'!A:B,2,0)),(K41-VLOOKUP(B41,'-'!A:B,2,0)))),IF(WEEKDAY(K41,2)=6,(K41-VLOOKUP(B41,'-'!A:B,2,0))-1,IF(WEEKDAY(K41,2)=7,(K41-VLOOKUP(B41,'-'!A:B,2,0))-2,(K41-VLOOKUP(B41,'-'!A:B,2,0)))))</f>
        <v>45981</v>
      </c>
      <c r="N41" s="16">
        <f t="shared" ca="1" si="10"/>
        <v>1</v>
      </c>
      <c r="O41" s="16" t="str">
        <f>""</f>
        <v/>
      </c>
      <c r="P41" s="16" t="str">
        <f t="shared" ca="1" si="11"/>
        <v/>
      </c>
      <c r="Q41" s="16" t="str">
        <f t="shared" ca="1" si="12"/>
        <v/>
      </c>
      <c r="R41" s="17" t="str">
        <f ca="1">IF(Q41="","",VLOOKUP(A41&amp;C41,'-'!D:E,2,0))</f>
        <v/>
      </c>
      <c r="S41" s="17" t="str">
        <f t="shared" ca="1" si="13"/>
        <v/>
      </c>
      <c r="T41" s="17" t="str">
        <f t="shared" ca="1" si="14"/>
        <v/>
      </c>
    </row>
    <row r="42" spans="1:20" x14ac:dyDescent="0.35">
      <c r="A42" s="12" t="s">
        <v>307</v>
      </c>
      <c r="B42" s="12" t="s">
        <v>306</v>
      </c>
      <c r="C42" s="12" t="s">
        <v>253</v>
      </c>
      <c r="D42" s="13">
        <v>5556486562</v>
      </c>
      <c r="E42" s="13" t="s">
        <v>14</v>
      </c>
      <c r="F42" s="11" t="s">
        <v>293</v>
      </c>
      <c r="G42" s="11" t="s">
        <v>16</v>
      </c>
      <c r="H42" s="11" t="s">
        <v>254</v>
      </c>
      <c r="I42" s="14"/>
      <c r="J42" s="13">
        <v>20</v>
      </c>
      <c r="K42" s="15">
        <f t="shared" ca="1" si="8"/>
        <v>45981</v>
      </c>
      <c r="L42" s="16">
        <f t="shared" ca="1" si="9"/>
        <v>1</v>
      </c>
      <c r="M42" s="15">
        <f ca="1">IF(OR(B42="General - Recoradorio Exclusiones",B42="General - Recoradorio Exclusiones"),IF(WEEKDAY(K42,2)=6,(K42-VLOOKUP(B42,'-'!A:B,2,0)),IF(WEEKDAY(K42,2)=7,(K42-VLOOKUP(B42,'-'!A:B,2,0)),(K42-VLOOKUP(B42,'-'!A:B,2,0)))),IF(WEEKDAY(K42,2)=6,(K42-VLOOKUP(B42,'-'!A:B,2,0))-1,IF(WEEKDAY(K42,2)=7,(K42-VLOOKUP(B42,'-'!A:B,2,0))-2,(K42-VLOOKUP(B42,'-'!A:B,2,0)))))</f>
        <v>45981</v>
      </c>
      <c r="N42" s="16">
        <f t="shared" ca="1" si="10"/>
        <v>1</v>
      </c>
      <c r="O42" s="16" t="str">
        <f>""</f>
        <v/>
      </c>
      <c r="P42" s="16" t="str">
        <f t="shared" ca="1" si="11"/>
        <v/>
      </c>
      <c r="Q42" s="16" t="str">
        <f t="shared" ca="1" si="12"/>
        <v/>
      </c>
      <c r="R42" s="17" t="str">
        <f ca="1">IF(Q42="","",VLOOKUP(A42&amp;C42,'-'!D:E,2,0))</f>
        <v/>
      </c>
      <c r="S42" s="17" t="str">
        <f t="shared" ca="1" si="13"/>
        <v/>
      </c>
      <c r="T42" s="17" t="str">
        <f t="shared" ca="1" si="14"/>
        <v/>
      </c>
    </row>
    <row r="43" spans="1:20" x14ac:dyDescent="0.35">
      <c r="A43" s="12" t="s">
        <v>307</v>
      </c>
      <c r="B43" s="12" t="s">
        <v>306</v>
      </c>
      <c r="C43" s="12" t="s">
        <v>214</v>
      </c>
      <c r="D43" s="13" t="s">
        <v>215</v>
      </c>
      <c r="E43" s="13" t="s">
        <v>15</v>
      </c>
      <c r="F43" s="11" t="s">
        <v>268</v>
      </c>
      <c r="G43" s="11" t="s">
        <v>216</v>
      </c>
      <c r="H43" s="11" t="s">
        <v>190</v>
      </c>
      <c r="I43" s="14"/>
      <c r="J43" s="13">
        <v>19</v>
      </c>
      <c r="K43" s="15">
        <f t="shared" ca="1" si="8"/>
        <v>45980</v>
      </c>
      <c r="L43" s="16">
        <f t="shared" ca="1" si="9"/>
        <v>0</v>
      </c>
      <c r="M43" s="15">
        <f ca="1">IF(OR(B43="General - Recoradorio Exclusiones",B43="General - Recoradorio Exclusiones"),IF(WEEKDAY(K43,2)=6,(K43-VLOOKUP(B43,'-'!A:B,2,0)),IF(WEEKDAY(K43,2)=7,(K43-VLOOKUP(B43,'-'!A:B,2,0)),(K43-VLOOKUP(B43,'-'!A:B,2,0)))),IF(WEEKDAY(K43,2)=6,(K43-VLOOKUP(B43,'-'!A:B,2,0))-1,IF(WEEKDAY(K43,2)=7,(K43-VLOOKUP(B43,'-'!A:B,2,0))-2,(K43-VLOOKUP(B43,'-'!A:B,2,0)))))</f>
        <v>45980</v>
      </c>
      <c r="N43" s="16">
        <f t="shared" ca="1" si="10"/>
        <v>0</v>
      </c>
      <c r="O43" s="16" t="str">
        <f>""</f>
        <v/>
      </c>
      <c r="P43" s="16" t="str">
        <f t="shared" ca="1" si="11"/>
        <v/>
      </c>
      <c r="Q43" s="16" t="str">
        <f t="shared" ca="1" si="12"/>
        <v>Notificar</v>
      </c>
      <c r="R43" s="17" t="str">
        <f ca="1">IF(Q43="","",VLOOKUP(A43&amp;C43,'-'!D:E,2,0))</f>
        <v>lerma@u-storage.com.mx;subgte.lerma@u-storage.com.mx;dnunez@u-storage.com.mx</v>
      </c>
      <c r="S43" s="17" t="str">
        <f t="shared" ca="1" si="13"/>
        <v>Fecha de pago telecomunicaciones | Lerma</v>
      </c>
      <c r="T43" s="17" t="str">
        <f t="shared" ca="1" si="14"/>
        <v>Fecha de pago telecomunicaciones: Lerma
TotalPlay: 0200424810
Internet Simetrico 30 Mbps MICROONDAS PMP TE
Fecha de pago: 19.11.2025
Por favor, de ser posible busquemos la descarga directa de la plataforma del proveedor, recordemos que al pagar a tiempo se mejora el precio de factura.</v>
      </c>
    </row>
    <row r="44" spans="1:20" x14ac:dyDescent="0.35">
      <c r="A44" s="12" t="s">
        <v>307</v>
      </c>
      <c r="B44" s="12" t="s">
        <v>306</v>
      </c>
      <c r="C44" s="12" t="s">
        <v>189</v>
      </c>
      <c r="D44" s="13" t="s">
        <v>191</v>
      </c>
      <c r="E44" s="13" t="s">
        <v>15</v>
      </c>
      <c r="F44" s="11" t="s">
        <v>257</v>
      </c>
      <c r="G44" s="11" t="s">
        <v>192</v>
      </c>
      <c r="H44" s="11" t="s">
        <v>190</v>
      </c>
      <c r="I44" s="14"/>
      <c r="J44" s="13">
        <v>20</v>
      </c>
      <c r="K44" s="15">
        <f t="shared" ca="1" si="8"/>
        <v>45981</v>
      </c>
      <c r="L44" s="16">
        <f t="shared" ca="1" si="9"/>
        <v>1</v>
      </c>
      <c r="M44" s="15">
        <f ca="1">IF(OR(B44="General - Recoradorio Exclusiones",B44="General - Recoradorio Exclusiones"),IF(WEEKDAY(K44,2)=6,(K44-VLOOKUP(B44,'-'!A:B,2,0)),IF(WEEKDAY(K44,2)=7,(K44-VLOOKUP(B44,'-'!A:B,2,0)),(K44-VLOOKUP(B44,'-'!A:B,2,0)))),IF(WEEKDAY(K44,2)=6,(K44-VLOOKUP(B44,'-'!A:B,2,0))-1,IF(WEEKDAY(K44,2)=7,(K44-VLOOKUP(B44,'-'!A:B,2,0))-2,(K44-VLOOKUP(B44,'-'!A:B,2,0)))))</f>
        <v>45981</v>
      </c>
      <c r="N44" s="16">
        <f t="shared" ca="1" si="10"/>
        <v>1</v>
      </c>
      <c r="O44" s="16" t="str">
        <f>""</f>
        <v/>
      </c>
      <c r="P44" s="16" t="str">
        <f t="shared" ca="1" si="11"/>
        <v/>
      </c>
      <c r="Q44" s="16" t="str">
        <f t="shared" ca="1" si="12"/>
        <v/>
      </c>
      <c r="R44" s="17" t="str">
        <f ca="1">IF(Q44="","",VLOOKUP(A44&amp;C44,'-'!D:E,2,0))</f>
        <v/>
      </c>
      <c r="S44" s="17" t="str">
        <f t="shared" ca="1" si="13"/>
        <v/>
      </c>
      <c r="T44" s="17" t="str">
        <f t="shared" ca="1" si="14"/>
        <v/>
      </c>
    </row>
    <row r="45" spans="1:20" x14ac:dyDescent="0.35">
      <c r="A45" s="12" t="s">
        <v>307</v>
      </c>
      <c r="B45" s="12" t="s">
        <v>306</v>
      </c>
      <c r="C45" s="12" t="s">
        <v>365</v>
      </c>
      <c r="D45" s="13" t="s">
        <v>400</v>
      </c>
      <c r="E45" s="13" t="s">
        <v>15</v>
      </c>
      <c r="F45" s="11" t="s">
        <v>390</v>
      </c>
      <c r="G45" s="11" t="s">
        <v>204</v>
      </c>
      <c r="H45" s="11" t="s">
        <v>190</v>
      </c>
      <c r="I45" s="14"/>
      <c r="J45" s="13">
        <v>20</v>
      </c>
      <c r="K45" s="15">
        <f t="shared" ca="1" si="8"/>
        <v>45981</v>
      </c>
      <c r="L45" s="16">
        <f t="shared" ca="1" si="9"/>
        <v>1</v>
      </c>
      <c r="M45" s="15">
        <f ca="1">IF(OR(B45="General - Recoradorio Exclusiones",B45="General - Recoradorio Exclusiones"),IF(WEEKDAY(K45,2)=6,(K45-VLOOKUP(B45,'-'!A:B,2,0)),IF(WEEKDAY(K45,2)=7,(K45-VLOOKUP(B45,'-'!A:B,2,0)),(K45-VLOOKUP(B45,'-'!A:B,2,0)))),IF(WEEKDAY(K45,2)=6,(K45-VLOOKUP(B45,'-'!A:B,2,0))-1,IF(WEEKDAY(K45,2)=7,(K45-VLOOKUP(B45,'-'!A:B,2,0))-2,(K45-VLOOKUP(B45,'-'!A:B,2,0)))))</f>
        <v>45981</v>
      </c>
      <c r="N45" s="16">
        <f t="shared" ca="1" si="10"/>
        <v>1</v>
      </c>
      <c r="O45" s="16" t="str">
        <f>""</f>
        <v/>
      </c>
      <c r="P45" s="16" t="str">
        <f t="shared" ca="1" si="11"/>
        <v/>
      </c>
      <c r="Q45" s="16" t="str">
        <f t="shared" ca="1" si="12"/>
        <v/>
      </c>
      <c r="R45" s="17" t="str">
        <f ca="1">IF(Q45="","",VLOOKUP(A45&amp;C45,'-'!D:E,2,0))</f>
        <v/>
      </c>
      <c r="S45" s="17" t="str">
        <f t="shared" ca="1" si="13"/>
        <v/>
      </c>
      <c r="T45" s="17" t="str">
        <f t="shared" ca="1" si="14"/>
        <v/>
      </c>
    </row>
    <row r="46" spans="1:20" x14ac:dyDescent="0.35">
      <c r="A46" s="12" t="s">
        <v>383</v>
      </c>
      <c r="B46" s="12" t="s">
        <v>384</v>
      </c>
      <c r="C46" s="12" t="s">
        <v>250</v>
      </c>
      <c r="D46" s="12" t="s">
        <v>410</v>
      </c>
      <c r="E46" s="12" t="s">
        <v>250</v>
      </c>
      <c r="F46" s="11" t="s">
        <v>412</v>
      </c>
      <c r="J46" s="13">
        <v>20</v>
      </c>
      <c r="K46" s="15">
        <f t="shared" ca="1" si="8"/>
        <v>45981</v>
      </c>
      <c r="L46" s="16">
        <f t="shared" ca="1" si="9"/>
        <v>1</v>
      </c>
      <c r="M46" s="15">
        <f ca="1">IF(OR(B46="General - Recoradorio Exclusiones",B46="General - Recoradorio Exclusiones"),IF(WEEKDAY(K46,2)=6,(K46-VLOOKUP(B46,'-'!A:B,2,0)),IF(WEEKDAY(K46,2)=7,(K46-VLOOKUP(B46,'-'!A:B,2,0)),(K46-VLOOKUP(B46,'-'!A:B,2,0)))),IF(WEEKDAY(K46,2)=6,(K46-VLOOKUP(B46,'-'!A:B,2,0))-1,IF(WEEKDAY(K46,2)=7,(K46-VLOOKUP(B46,'-'!A:B,2,0))-2,(K46-VLOOKUP(B46,'-'!A:B,2,0)))))</f>
        <v>45981</v>
      </c>
      <c r="N46" s="16">
        <f t="shared" ca="1" si="10"/>
        <v>1</v>
      </c>
      <c r="O46" s="16" t="str">
        <f>""</f>
        <v/>
      </c>
      <c r="P46" s="16" t="str">
        <f t="shared" ca="1" si="11"/>
        <v/>
      </c>
      <c r="Q46" s="16" t="str">
        <f t="shared" ca="1" si="12"/>
        <v/>
      </c>
      <c r="R46" s="17" t="str">
        <f ca="1">IF(Q46="","",VLOOKUP(A46&amp;C46,'-'!D:E,2,0))</f>
        <v/>
      </c>
      <c r="S46" s="17" t="str">
        <f t="shared" ca="1" si="13"/>
        <v/>
      </c>
      <c r="T46" s="17" t="str">
        <f t="shared" ca="1" si="14"/>
        <v/>
      </c>
    </row>
    <row r="47" spans="1:20" x14ac:dyDescent="0.35">
      <c r="A47" s="12" t="s">
        <v>307</v>
      </c>
      <c r="B47" s="12" t="s">
        <v>306</v>
      </c>
      <c r="C47" s="12" t="s">
        <v>248</v>
      </c>
      <c r="D47" s="13">
        <v>814209689</v>
      </c>
      <c r="E47" s="13" t="s">
        <v>196</v>
      </c>
      <c r="F47" s="11" t="s">
        <v>289</v>
      </c>
      <c r="G47" s="11" t="s">
        <v>197</v>
      </c>
      <c r="H47" s="11" t="s">
        <v>190</v>
      </c>
      <c r="I47" s="14"/>
      <c r="J47" s="13">
        <v>21</v>
      </c>
      <c r="K47" s="15">
        <f t="shared" ca="1" si="8"/>
        <v>45982</v>
      </c>
      <c r="L47" s="16">
        <f t="shared" ca="1" si="9"/>
        <v>2</v>
      </c>
      <c r="M47" s="15">
        <f ca="1">IF(OR(B47="General - Recoradorio Exclusiones",B47="General - Recoradorio Exclusiones"),IF(WEEKDAY(K47,2)=6,(K47-VLOOKUP(B47,'-'!A:B,2,0)),IF(WEEKDAY(K47,2)=7,(K47-VLOOKUP(B47,'-'!A:B,2,0)),(K47-VLOOKUP(B47,'-'!A:B,2,0)))),IF(WEEKDAY(K47,2)=6,(K47-VLOOKUP(B47,'-'!A:B,2,0))-1,IF(WEEKDAY(K47,2)=7,(K47-VLOOKUP(B47,'-'!A:B,2,0))-2,(K47-VLOOKUP(B47,'-'!A:B,2,0)))))</f>
        <v>45982</v>
      </c>
      <c r="N47" s="16">
        <f t="shared" ca="1" si="10"/>
        <v>2</v>
      </c>
      <c r="O47" s="16" t="str">
        <f>""</f>
        <v/>
      </c>
      <c r="P47" s="16" t="str">
        <f t="shared" ca="1" si="11"/>
        <v/>
      </c>
      <c r="Q47" s="16" t="str">
        <f t="shared" ca="1" si="12"/>
        <v/>
      </c>
      <c r="R47" s="17" t="str">
        <f ca="1">IF(Q47="","",VLOOKUP(A47&amp;C47,'-'!D:E,2,0))</f>
        <v/>
      </c>
      <c r="S47" s="17" t="str">
        <f t="shared" ca="1" si="13"/>
        <v/>
      </c>
      <c r="T47" s="17" t="str">
        <f t="shared" ca="1" si="14"/>
        <v/>
      </c>
    </row>
    <row r="48" spans="1:20" x14ac:dyDescent="0.35">
      <c r="A48" s="12" t="s">
        <v>307</v>
      </c>
      <c r="B48" s="12" t="s">
        <v>306</v>
      </c>
      <c r="C48" s="12" t="s">
        <v>388</v>
      </c>
      <c r="D48" s="13" t="s">
        <v>401</v>
      </c>
      <c r="E48" s="13" t="s">
        <v>15</v>
      </c>
      <c r="F48" s="11" t="s">
        <v>389</v>
      </c>
      <c r="G48" s="11" t="s">
        <v>204</v>
      </c>
      <c r="H48" s="11" t="s">
        <v>190</v>
      </c>
      <c r="I48" s="14"/>
      <c r="J48" s="13">
        <v>21</v>
      </c>
      <c r="K48" s="15">
        <f t="shared" ca="1" si="8"/>
        <v>45982</v>
      </c>
      <c r="L48" s="16">
        <f t="shared" ca="1" si="9"/>
        <v>2</v>
      </c>
      <c r="M48" s="15">
        <f ca="1">IF(OR(B48="General - Recoradorio Exclusiones",B48="General - Recoradorio Exclusiones"),IF(WEEKDAY(K48,2)=6,(K48-VLOOKUP(B48,'-'!A:B,2,0)),IF(WEEKDAY(K48,2)=7,(K48-VLOOKUP(B48,'-'!A:B,2,0)),(K48-VLOOKUP(B48,'-'!A:B,2,0)))),IF(WEEKDAY(K48,2)=6,(K48-VLOOKUP(B48,'-'!A:B,2,0))-1,IF(WEEKDAY(K48,2)=7,(K48-VLOOKUP(B48,'-'!A:B,2,0))-2,(K48-VLOOKUP(B48,'-'!A:B,2,0)))))</f>
        <v>45982</v>
      </c>
      <c r="N48" s="16">
        <f t="shared" ca="1" si="10"/>
        <v>2</v>
      </c>
      <c r="O48" s="16" t="str">
        <f>""</f>
        <v/>
      </c>
      <c r="P48" s="16" t="str">
        <f t="shared" ca="1" si="11"/>
        <v/>
      </c>
      <c r="Q48" s="16" t="str">
        <f t="shared" ca="1" si="12"/>
        <v/>
      </c>
      <c r="R48" s="17" t="str">
        <f ca="1">IF(Q48="","",VLOOKUP(A48&amp;C48,'-'!D:E,2,0))</f>
        <v/>
      </c>
      <c r="S48" s="17" t="str">
        <f t="shared" ca="1" si="13"/>
        <v/>
      </c>
      <c r="T48" s="17" t="str">
        <f t="shared" ca="1" si="14"/>
        <v/>
      </c>
    </row>
    <row r="49" spans="1:20" x14ac:dyDescent="0.35">
      <c r="A49" s="12" t="s">
        <v>307</v>
      </c>
      <c r="B49" s="12" t="s">
        <v>306</v>
      </c>
      <c r="C49" s="12" t="s">
        <v>239</v>
      </c>
      <c r="D49" s="13" t="s">
        <v>240</v>
      </c>
      <c r="E49" s="13" t="s">
        <v>15</v>
      </c>
      <c r="F49" s="11" t="s">
        <v>282</v>
      </c>
      <c r="G49" s="11" t="s">
        <v>211</v>
      </c>
      <c r="H49" s="11" t="s">
        <v>190</v>
      </c>
      <c r="I49" s="14"/>
      <c r="J49" s="13">
        <v>22</v>
      </c>
      <c r="K49" s="15">
        <f t="shared" ca="1" si="8"/>
        <v>45983</v>
      </c>
      <c r="L49" s="16">
        <f t="shared" ca="1" si="9"/>
        <v>3</v>
      </c>
      <c r="M49" s="15">
        <f ca="1">IF(OR(B49="General - Recoradorio Exclusiones",B49="General - Recoradorio Exclusiones"),IF(WEEKDAY(K49,2)=6,(K49-VLOOKUP(B49,'-'!A:B,2,0)),IF(WEEKDAY(K49,2)=7,(K49-VLOOKUP(B49,'-'!A:B,2,0)),(K49-VLOOKUP(B49,'-'!A:B,2,0)))),IF(WEEKDAY(K49,2)=6,(K49-VLOOKUP(B49,'-'!A:B,2,0))-1,IF(WEEKDAY(K49,2)=7,(K49-VLOOKUP(B49,'-'!A:B,2,0))-2,(K49-VLOOKUP(B49,'-'!A:B,2,0)))))</f>
        <v>45982</v>
      </c>
      <c r="N49" s="16">
        <f t="shared" ca="1" si="10"/>
        <v>2</v>
      </c>
      <c r="O49" s="16" t="str">
        <f>""</f>
        <v/>
      </c>
      <c r="P49" s="16" t="str">
        <f t="shared" ca="1" si="11"/>
        <v/>
      </c>
      <c r="Q49" s="16" t="str">
        <f t="shared" ca="1" si="12"/>
        <v/>
      </c>
      <c r="R49" s="17" t="str">
        <f ca="1">IF(Q49="","",VLOOKUP(A49&amp;C49,'-'!D:E,2,0))</f>
        <v/>
      </c>
      <c r="S49" s="17" t="str">
        <f t="shared" ca="1" si="13"/>
        <v/>
      </c>
      <c r="T49" s="17" t="str">
        <f t="shared" ca="1" si="14"/>
        <v/>
      </c>
    </row>
    <row r="50" spans="1:20" x14ac:dyDescent="0.35">
      <c r="A50" s="12" t="s">
        <v>307</v>
      </c>
      <c r="B50" s="12" t="s">
        <v>306</v>
      </c>
      <c r="C50" s="12" t="s">
        <v>388</v>
      </c>
      <c r="D50" s="13" t="s">
        <v>402</v>
      </c>
      <c r="E50" s="13" t="s">
        <v>15</v>
      </c>
      <c r="F50" s="11" t="s">
        <v>389</v>
      </c>
      <c r="G50" s="11" t="s">
        <v>204</v>
      </c>
      <c r="H50" s="11" t="s">
        <v>190</v>
      </c>
      <c r="I50" s="14"/>
      <c r="J50" s="13">
        <v>22</v>
      </c>
      <c r="K50" s="15">
        <f t="shared" ca="1" si="8"/>
        <v>45983</v>
      </c>
      <c r="L50" s="16">
        <f t="shared" ca="1" si="9"/>
        <v>3</v>
      </c>
      <c r="M50" s="15">
        <f ca="1">IF(OR(B50="General - Recoradorio Exclusiones",B50="General - Recoradorio Exclusiones"),IF(WEEKDAY(K50,2)=6,(K50-VLOOKUP(B50,'-'!A:B,2,0)),IF(WEEKDAY(K50,2)=7,(K50-VLOOKUP(B50,'-'!A:B,2,0)),(K50-VLOOKUP(B50,'-'!A:B,2,0)))),IF(WEEKDAY(K50,2)=6,(K50-VLOOKUP(B50,'-'!A:B,2,0))-1,IF(WEEKDAY(K50,2)=7,(K50-VLOOKUP(B50,'-'!A:B,2,0))-2,(K50-VLOOKUP(B50,'-'!A:B,2,0)))))</f>
        <v>45982</v>
      </c>
      <c r="N50" s="16">
        <f t="shared" ca="1" si="10"/>
        <v>2</v>
      </c>
      <c r="O50" s="16" t="str">
        <f>""</f>
        <v/>
      </c>
      <c r="P50" s="16" t="str">
        <f t="shared" ca="1" si="11"/>
        <v/>
      </c>
      <c r="Q50" s="16" t="str">
        <f t="shared" ca="1" si="12"/>
        <v/>
      </c>
      <c r="R50" s="17" t="str">
        <f ca="1">IF(Q50="","",VLOOKUP(A50&amp;C50,'-'!D:E,2,0))</f>
        <v/>
      </c>
      <c r="S50" s="17" t="str">
        <f t="shared" ca="1" si="13"/>
        <v/>
      </c>
      <c r="T50" s="17" t="str">
        <f t="shared" ca="1" si="14"/>
        <v/>
      </c>
    </row>
    <row r="51" spans="1:20" x14ac:dyDescent="0.35">
      <c r="A51" s="12" t="s">
        <v>307</v>
      </c>
      <c r="B51" s="12" t="s">
        <v>306</v>
      </c>
      <c r="C51" s="12" t="s">
        <v>238</v>
      </c>
      <c r="D51" s="13" t="s">
        <v>403</v>
      </c>
      <c r="E51" s="13" t="s">
        <v>15</v>
      </c>
      <c r="F51" s="11" t="s">
        <v>280</v>
      </c>
      <c r="G51" s="11" t="s">
        <v>219</v>
      </c>
      <c r="H51" s="11" t="s">
        <v>190</v>
      </c>
      <c r="I51" s="14"/>
      <c r="J51" s="13">
        <v>22</v>
      </c>
      <c r="K51" s="15">
        <f t="shared" ca="1" si="8"/>
        <v>45983</v>
      </c>
      <c r="L51" s="16">
        <f t="shared" ca="1" si="9"/>
        <v>3</v>
      </c>
      <c r="M51" s="15">
        <f ca="1">IF(OR(B51="General - Recoradorio Exclusiones",B51="General - Recoradorio Exclusiones"),IF(WEEKDAY(K51,2)=6,(K51-VLOOKUP(B51,'-'!A:B,2,0)),IF(WEEKDAY(K51,2)=7,(K51-VLOOKUP(B51,'-'!A:B,2,0)),(K51-VLOOKUP(B51,'-'!A:B,2,0)))),IF(WEEKDAY(K51,2)=6,(K51-VLOOKUP(B51,'-'!A:B,2,0))-1,IF(WEEKDAY(K51,2)=7,(K51-VLOOKUP(B51,'-'!A:B,2,0))-2,(K51-VLOOKUP(B51,'-'!A:B,2,0)))))</f>
        <v>45982</v>
      </c>
      <c r="N51" s="16">
        <f t="shared" ca="1" si="10"/>
        <v>2</v>
      </c>
      <c r="O51" s="16" t="str">
        <f>""</f>
        <v/>
      </c>
      <c r="P51" s="16" t="str">
        <f t="shared" ca="1" si="11"/>
        <v/>
      </c>
      <c r="Q51" s="16" t="str">
        <f t="shared" ca="1" si="12"/>
        <v/>
      </c>
      <c r="R51" s="17" t="str">
        <f ca="1">IF(Q51="","",VLOOKUP(A51&amp;C51,'-'!D:E,2,0))</f>
        <v/>
      </c>
      <c r="S51" s="17" t="str">
        <f t="shared" ca="1" si="13"/>
        <v/>
      </c>
      <c r="T51" s="17" t="str">
        <f t="shared" ca="1" si="14"/>
        <v/>
      </c>
    </row>
    <row r="52" spans="1:20" x14ac:dyDescent="0.35">
      <c r="A52" s="12" t="s">
        <v>307</v>
      </c>
      <c r="B52" s="12" t="s">
        <v>306</v>
      </c>
      <c r="C52" s="12" t="s">
        <v>248</v>
      </c>
      <c r="D52" s="13">
        <v>5556611868</v>
      </c>
      <c r="E52" s="13" t="s">
        <v>14</v>
      </c>
      <c r="F52" s="11" t="s">
        <v>290</v>
      </c>
      <c r="G52" s="11" t="s">
        <v>249</v>
      </c>
      <c r="H52" s="11" t="s">
        <v>190</v>
      </c>
      <c r="I52" s="14"/>
      <c r="J52" s="13">
        <v>22</v>
      </c>
      <c r="K52" s="15">
        <f t="shared" ca="1" si="8"/>
        <v>45983</v>
      </c>
      <c r="L52" s="16">
        <f t="shared" ca="1" si="9"/>
        <v>3</v>
      </c>
      <c r="M52" s="15">
        <f ca="1">IF(OR(B52="General - Recoradorio Exclusiones",B52="General - Recoradorio Exclusiones"),IF(WEEKDAY(K52,2)=6,(K52-VLOOKUP(B52,'-'!A:B,2,0)),IF(WEEKDAY(K52,2)=7,(K52-VLOOKUP(B52,'-'!A:B,2,0)),(K52-VLOOKUP(B52,'-'!A:B,2,0)))),IF(WEEKDAY(K52,2)=6,(K52-VLOOKUP(B52,'-'!A:B,2,0))-1,IF(WEEKDAY(K52,2)=7,(K52-VLOOKUP(B52,'-'!A:B,2,0))-2,(K52-VLOOKUP(B52,'-'!A:B,2,0)))))</f>
        <v>45982</v>
      </c>
      <c r="N52" s="16">
        <f t="shared" ca="1" si="10"/>
        <v>2</v>
      </c>
      <c r="O52" s="16" t="str">
        <f>""</f>
        <v/>
      </c>
      <c r="P52" s="16" t="str">
        <f t="shared" ca="1" si="11"/>
        <v/>
      </c>
      <c r="Q52" s="16" t="str">
        <f t="shared" ca="1" si="12"/>
        <v/>
      </c>
      <c r="R52" s="17" t="str">
        <f ca="1">IF(Q52="","",VLOOKUP(A52&amp;C52,'-'!D:E,2,0))</f>
        <v/>
      </c>
      <c r="S52" s="17" t="str">
        <f t="shared" ca="1" si="13"/>
        <v/>
      </c>
      <c r="T52" s="17" t="str">
        <f t="shared" ca="1" si="14"/>
        <v/>
      </c>
    </row>
    <row r="53" spans="1:20" x14ac:dyDescent="0.35">
      <c r="A53" s="12" t="s">
        <v>307</v>
      </c>
      <c r="B53" s="12" t="s">
        <v>306</v>
      </c>
      <c r="C53" s="12" t="s">
        <v>198</v>
      </c>
      <c r="D53" s="13" t="s">
        <v>199</v>
      </c>
      <c r="E53" s="13" t="s">
        <v>15</v>
      </c>
      <c r="F53" s="11" t="s">
        <v>260</v>
      </c>
      <c r="G53" s="11" t="s">
        <v>200</v>
      </c>
      <c r="H53" s="11" t="s">
        <v>190</v>
      </c>
      <c r="I53" s="14"/>
      <c r="J53" s="13">
        <v>23</v>
      </c>
      <c r="K53" s="15">
        <f t="shared" ca="1" si="8"/>
        <v>45984</v>
      </c>
      <c r="L53" s="16">
        <f t="shared" ca="1" si="9"/>
        <v>4</v>
      </c>
      <c r="M53" s="15">
        <f ca="1">IF(OR(B53="General - Recoradorio Exclusiones",B53="General - Recoradorio Exclusiones"),IF(WEEKDAY(K53,2)=6,(K53-VLOOKUP(B53,'-'!A:B,2,0)),IF(WEEKDAY(K53,2)=7,(K53-VLOOKUP(B53,'-'!A:B,2,0)),(K53-VLOOKUP(B53,'-'!A:B,2,0)))),IF(WEEKDAY(K53,2)=6,(K53-VLOOKUP(B53,'-'!A:B,2,0))-1,IF(WEEKDAY(K53,2)=7,(K53-VLOOKUP(B53,'-'!A:B,2,0))-2,(K53-VLOOKUP(B53,'-'!A:B,2,0)))))</f>
        <v>45982</v>
      </c>
      <c r="N53" s="16">
        <f t="shared" ca="1" si="10"/>
        <v>2</v>
      </c>
      <c r="O53" s="16" t="str">
        <f>""</f>
        <v/>
      </c>
      <c r="P53" s="16" t="str">
        <f t="shared" ca="1" si="11"/>
        <v/>
      </c>
      <c r="Q53" s="16" t="str">
        <f t="shared" ca="1" si="12"/>
        <v/>
      </c>
      <c r="R53" s="17" t="str">
        <f ca="1">IF(Q53="","",VLOOKUP(A53&amp;C53,'-'!D:E,2,0))</f>
        <v/>
      </c>
      <c r="S53" s="17" t="str">
        <f t="shared" ca="1" si="13"/>
        <v/>
      </c>
      <c r="T53" s="17" t="str">
        <f t="shared" ca="1" si="14"/>
        <v/>
      </c>
    </row>
    <row r="54" spans="1:20" x14ac:dyDescent="0.35">
      <c r="A54" s="12" t="s">
        <v>307</v>
      </c>
      <c r="B54" s="12" t="s">
        <v>306</v>
      </c>
      <c r="C54" s="12" t="s">
        <v>1252</v>
      </c>
      <c r="D54" s="13" t="s">
        <v>1257</v>
      </c>
      <c r="E54" s="13" t="s">
        <v>15</v>
      </c>
      <c r="F54" s="11" t="s">
        <v>1258</v>
      </c>
      <c r="G54" s="11" t="s">
        <v>204</v>
      </c>
      <c r="H54" s="11" t="s">
        <v>708</v>
      </c>
      <c r="I54" s="14"/>
      <c r="J54" s="13">
        <v>24</v>
      </c>
      <c r="K54" s="15">
        <f t="shared" ca="1" si="8"/>
        <v>45985</v>
      </c>
      <c r="L54" s="16">
        <f t="shared" ca="1" si="9"/>
        <v>5</v>
      </c>
      <c r="M54" s="15">
        <f ca="1">IF(OR(B54="General - Recoradorio Exclusiones",B54="General - Recoradorio Exclusiones"),IF(WEEKDAY(K54,2)=6,(K54-VLOOKUP(B54,'-'!A:B,2,0)),IF(WEEKDAY(K54,2)=7,(K54-VLOOKUP(B54,'-'!A:B,2,0)),(K54-VLOOKUP(B54,'-'!A:B,2,0)))),IF(WEEKDAY(K54,2)=6,(K54-VLOOKUP(B54,'-'!A:B,2,0))-1,IF(WEEKDAY(K54,2)=7,(K54-VLOOKUP(B54,'-'!A:B,2,0))-2,(K54-VLOOKUP(B54,'-'!A:B,2,0)))))</f>
        <v>45985</v>
      </c>
      <c r="N54" s="16">
        <f t="shared" ca="1" si="10"/>
        <v>5</v>
      </c>
      <c r="O54" s="16" t="str">
        <f>""</f>
        <v/>
      </c>
      <c r="P54" s="16" t="str">
        <f t="shared" ca="1" si="11"/>
        <v/>
      </c>
      <c r="Q54" s="16" t="str">
        <f t="shared" ca="1" si="12"/>
        <v/>
      </c>
      <c r="R54" s="17" t="str">
        <f ca="1">IF(Q54="","",VLOOKUP(A54&amp;C54,'-'!D:E,2,0))</f>
        <v/>
      </c>
      <c r="S54" s="17" t="str">
        <f t="shared" ca="1" si="13"/>
        <v/>
      </c>
      <c r="T54" s="17" t="str">
        <f t="shared" ca="1" si="14"/>
        <v/>
      </c>
    </row>
    <row r="55" spans="1:20" x14ac:dyDescent="0.35">
      <c r="A55" s="12" t="s">
        <v>307</v>
      </c>
      <c r="B55" s="12" t="s">
        <v>306</v>
      </c>
      <c r="C55" s="12" t="s">
        <v>365</v>
      </c>
      <c r="D55" s="13">
        <v>3332684928</v>
      </c>
      <c r="E55" s="13" t="s">
        <v>14</v>
      </c>
      <c r="F55" s="11" t="s">
        <v>368</v>
      </c>
      <c r="G55" s="11" t="s">
        <v>205</v>
      </c>
      <c r="H55" s="11" t="s">
        <v>372</v>
      </c>
      <c r="I55" s="14"/>
      <c r="J55" s="24">
        <v>24</v>
      </c>
      <c r="K55" s="15">
        <f t="shared" ca="1" si="8"/>
        <v>45985</v>
      </c>
      <c r="L55" s="16">
        <f t="shared" ca="1" si="9"/>
        <v>5</v>
      </c>
      <c r="M55" s="15">
        <f ca="1">IF(OR(B55="General - Recoradorio Exclusiones",B55="General - Recoradorio Exclusiones"),IF(WEEKDAY(K55,2)=6,(K55-VLOOKUP(B55,'-'!A:B,2,0)),IF(WEEKDAY(K55,2)=7,(K55-VLOOKUP(B55,'-'!A:B,2,0)),(K55-VLOOKUP(B55,'-'!A:B,2,0)))),IF(WEEKDAY(K55,2)=6,(K55-VLOOKUP(B55,'-'!A:B,2,0))-1,IF(WEEKDAY(K55,2)=7,(K55-VLOOKUP(B55,'-'!A:B,2,0))-2,(K55-VLOOKUP(B55,'-'!A:B,2,0)))))</f>
        <v>45985</v>
      </c>
      <c r="N55" s="16">
        <f t="shared" ca="1" si="10"/>
        <v>5</v>
      </c>
      <c r="O55" s="16" t="str">
        <f>""</f>
        <v/>
      </c>
      <c r="P55" s="16" t="str">
        <f t="shared" ca="1" si="11"/>
        <v/>
      </c>
      <c r="Q55" s="16" t="str">
        <f t="shared" ca="1" si="12"/>
        <v/>
      </c>
      <c r="R55" s="17" t="str">
        <f ca="1">IF(Q55="","",VLOOKUP(A55&amp;C55,'-'!D:E,2,0))</f>
        <v/>
      </c>
      <c r="S55" s="17" t="str">
        <f t="shared" ca="1" si="13"/>
        <v/>
      </c>
      <c r="T55" s="17" t="str">
        <f t="shared" ca="1" si="14"/>
        <v/>
      </c>
    </row>
    <row r="56" spans="1:20" x14ac:dyDescent="0.35">
      <c r="A56" s="12" t="s">
        <v>307</v>
      </c>
      <c r="B56" s="12" t="s">
        <v>306</v>
      </c>
      <c r="C56" s="12" t="s">
        <v>245</v>
      </c>
      <c r="D56" s="13" t="s">
        <v>247</v>
      </c>
      <c r="E56" s="13" t="s">
        <v>15</v>
      </c>
      <c r="F56" s="11" t="s">
        <v>287</v>
      </c>
      <c r="G56" s="11" t="s">
        <v>219</v>
      </c>
      <c r="H56" s="11" t="s">
        <v>246</v>
      </c>
      <c r="I56" s="14"/>
      <c r="J56" s="13">
        <v>25</v>
      </c>
      <c r="K56" s="15">
        <f t="shared" ca="1" si="8"/>
        <v>45986</v>
      </c>
      <c r="L56" s="16">
        <f t="shared" ca="1" si="9"/>
        <v>6</v>
      </c>
      <c r="M56" s="15">
        <f ca="1">IF(OR(B56="General - Recoradorio Exclusiones",B56="General - Recoradorio Exclusiones"),IF(WEEKDAY(K56,2)=6,(K56-VLOOKUP(B56,'-'!A:B,2,0)),IF(WEEKDAY(K56,2)=7,(K56-VLOOKUP(B56,'-'!A:B,2,0)),(K56-VLOOKUP(B56,'-'!A:B,2,0)))),IF(WEEKDAY(K56,2)=6,(K56-VLOOKUP(B56,'-'!A:B,2,0))-1,IF(WEEKDAY(K56,2)=7,(K56-VLOOKUP(B56,'-'!A:B,2,0))-2,(K56-VLOOKUP(B56,'-'!A:B,2,0)))))</f>
        <v>45986</v>
      </c>
      <c r="N56" s="16">
        <f t="shared" ca="1" si="10"/>
        <v>6</v>
      </c>
      <c r="O56" s="16" t="str">
        <f>""</f>
        <v/>
      </c>
      <c r="P56" s="16" t="str">
        <f t="shared" ca="1" si="11"/>
        <v/>
      </c>
      <c r="Q56" s="16" t="str">
        <f t="shared" ca="1" si="12"/>
        <v/>
      </c>
      <c r="R56" s="17" t="str">
        <f ca="1">IF(Q56="","",VLOOKUP(A56&amp;C56,'-'!D:E,2,0))</f>
        <v/>
      </c>
      <c r="S56" s="17" t="str">
        <f t="shared" ca="1" si="13"/>
        <v/>
      </c>
      <c r="T56" s="17" t="str">
        <f t="shared" ca="1" si="14"/>
        <v/>
      </c>
    </row>
    <row r="57" spans="1:20" x14ac:dyDescent="0.35">
      <c r="A57" s="12" t="s">
        <v>307</v>
      </c>
      <c r="B57" s="12" t="s">
        <v>306</v>
      </c>
      <c r="C57" s="12" t="s">
        <v>198</v>
      </c>
      <c r="D57" s="13">
        <v>5552922261</v>
      </c>
      <c r="E57" s="13" t="s">
        <v>14</v>
      </c>
      <c r="F57" s="11" t="s">
        <v>261</v>
      </c>
      <c r="G57" s="11" t="s">
        <v>195</v>
      </c>
      <c r="H57" s="11" t="s">
        <v>190</v>
      </c>
      <c r="I57" s="14"/>
      <c r="J57" s="13">
        <v>25</v>
      </c>
      <c r="K57" s="15">
        <f t="shared" ca="1" si="8"/>
        <v>45986</v>
      </c>
      <c r="L57" s="16">
        <f t="shared" ca="1" si="9"/>
        <v>6</v>
      </c>
      <c r="M57" s="15">
        <f ca="1">IF(OR(B57="General - Recoradorio Exclusiones",B57="General - Recoradorio Exclusiones"),IF(WEEKDAY(K57,2)=6,(K57-VLOOKUP(B57,'-'!A:B,2,0)),IF(WEEKDAY(K57,2)=7,(K57-VLOOKUP(B57,'-'!A:B,2,0)),(K57-VLOOKUP(B57,'-'!A:B,2,0)))),IF(WEEKDAY(K57,2)=6,(K57-VLOOKUP(B57,'-'!A:B,2,0))-1,IF(WEEKDAY(K57,2)=7,(K57-VLOOKUP(B57,'-'!A:B,2,0))-2,(K57-VLOOKUP(B57,'-'!A:B,2,0)))))</f>
        <v>45986</v>
      </c>
      <c r="N57" s="16">
        <f t="shared" ca="1" si="10"/>
        <v>6</v>
      </c>
      <c r="O57" s="16" t="str">
        <f>""</f>
        <v/>
      </c>
      <c r="P57" s="16" t="str">
        <f t="shared" ca="1" si="11"/>
        <v/>
      </c>
      <c r="Q57" s="16" t="str">
        <f t="shared" ca="1" si="12"/>
        <v/>
      </c>
      <c r="R57" s="17" t="str">
        <f ca="1">IF(Q57="","",VLOOKUP(A57&amp;C57,'-'!D:E,2,0))</f>
        <v/>
      </c>
      <c r="S57" s="17" t="str">
        <f t="shared" ca="1" si="13"/>
        <v/>
      </c>
      <c r="T57" s="17" t="str">
        <f t="shared" ca="1" si="14"/>
        <v/>
      </c>
    </row>
    <row r="58" spans="1:20" x14ac:dyDescent="0.35">
      <c r="A58" s="12" t="s">
        <v>307</v>
      </c>
      <c r="B58" s="12" t="s">
        <v>306</v>
      </c>
      <c r="C58" s="12" t="s">
        <v>206</v>
      </c>
      <c r="D58" s="13">
        <v>5553845904</v>
      </c>
      <c r="E58" s="13" t="s">
        <v>14</v>
      </c>
      <c r="F58" s="11" t="s">
        <v>265</v>
      </c>
      <c r="G58" s="11" t="s">
        <v>205</v>
      </c>
      <c r="H58" s="11" t="s">
        <v>207</v>
      </c>
      <c r="I58" s="14"/>
      <c r="J58" s="13">
        <v>25</v>
      </c>
      <c r="K58" s="15">
        <f t="shared" ca="1" si="8"/>
        <v>45986</v>
      </c>
      <c r="L58" s="16">
        <f t="shared" ca="1" si="9"/>
        <v>6</v>
      </c>
      <c r="M58" s="15">
        <f ca="1">IF(OR(B58="General - Recoradorio Exclusiones",B58="General - Recoradorio Exclusiones"),IF(WEEKDAY(K58,2)=6,(K58-VLOOKUP(B58,'-'!A:B,2,0)),IF(WEEKDAY(K58,2)=7,(K58-VLOOKUP(B58,'-'!A:B,2,0)),(K58-VLOOKUP(B58,'-'!A:B,2,0)))),IF(WEEKDAY(K58,2)=6,(K58-VLOOKUP(B58,'-'!A:B,2,0))-1,IF(WEEKDAY(K58,2)=7,(K58-VLOOKUP(B58,'-'!A:B,2,0))-2,(K58-VLOOKUP(B58,'-'!A:B,2,0)))))</f>
        <v>45986</v>
      </c>
      <c r="N58" s="16">
        <f t="shared" ca="1" si="10"/>
        <v>6</v>
      </c>
      <c r="O58" s="16" t="str">
        <f>""</f>
        <v/>
      </c>
      <c r="P58" s="16" t="str">
        <f t="shared" ca="1" si="11"/>
        <v/>
      </c>
      <c r="Q58" s="16" t="str">
        <f t="shared" ca="1" si="12"/>
        <v/>
      </c>
      <c r="R58" s="17" t="str">
        <f ca="1">IF(Q58="","",VLOOKUP(A58&amp;C58,'-'!D:E,2,0))</f>
        <v/>
      </c>
      <c r="S58" s="17" t="str">
        <f t="shared" ca="1" si="13"/>
        <v/>
      </c>
      <c r="T58" s="17" t="str">
        <f t="shared" ca="1" si="14"/>
        <v/>
      </c>
    </row>
    <row r="59" spans="1:20" x14ac:dyDescent="0.35">
      <c r="A59" s="12" t="s">
        <v>307</v>
      </c>
      <c r="B59" s="12" t="s">
        <v>306</v>
      </c>
      <c r="C59" s="12" t="s">
        <v>250</v>
      </c>
      <c r="D59" s="13">
        <v>5552927604</v>
      </c>
      <c r="E59" s="13" t="s">
        <v>14</v>
      </c>
      <c r="F59" s="11" t="s">
        <v>291</v>
      </c>
      <c r="G59" s="11" t="s">
        <v>195</v>
      </c>
      <c r="H59" s="11" t="s">
        <v>251</v>
      </c>
      <c r="I59" s="14"/>
      <c r="J59" s="13">
        <v>26</v>
      </c>
      <c r="K59" s="15">
        <f t="shared" ca="1" si="8"/>
        <v>45987</v>
      </c>
      <c r="L59" s="16">
        <f t="shared" ca="1" si="9"/>
        <v>7</v>
      </c>
      <c r="M59" s="15">
        <f ca="1">IF(OR(B59="General - Recoradorio Exclusiones",B59="General - Recoradorio Exclusiones"),IF(WEEKDAY(K59,2)=6,(K59-VLOOKUP(B59,'-'!A:B,2,0)),IF(WEEKDAY(K59,2)=7,(K59-VLOOKUP(B59,'-'!A:B,2,0)),(K59-VLOOKUP(B59,'-'!A:B,2,0)))),IF(WEEKDAY(K59,2)=6,(K59-VLOOKUP(B59,'-'!A:B,2,0))-1,IF(WEEKDAY(K59,2)=7,(K59-VLOOKUP(B59,'-'!A:B,2,0))-2,(K59-VLOOKUP(B59,'-'!A:B,2,0)))))</f>
        <v>45987</v>
      </c>
      <c r="N59" s="16">
        <f t="shared" ca="1" si="10"/>
        <v>7</v>
      </c>
      <c r="O59" s="16" t="str">
        <f>""</f>
        <v/>
      </c>
      <c r="P59" s="16" t="str">
        <f t="shared" ca="1" si="11"/>
        <v/>
      </c>
      <c r="Q59" s="16" t="str">
        <f t="shared" ca="1" si="12"/>
        <v/>
      </c>
      <c r="R59" s="17" t="str">
        <f ca="1">IF(Q59="","",VLOOKUP(A59&amp;C59,'-'!D:E,2,0))</f>
        <v/>
      </c>
      <c r="S59" s="17" t="str">
        <f t="shared" ca="1" si="13"/>
        <v/>
      </c>
      <c r="T59" s="17" t="str">
        <f t="shared" ca="1" si="14"/>
        <v/>
      </c>
    </row>
    <row r="60" spans="1:20" x14ac:dyDescent="0.35">
      <c r="A60" s="12" t="s">
        <v>307</v>
      </c>
      <c r="B60" s="12" t="s">
        <v>306</v>
      </c>
      <c r="C60" s="12" t="s">
        <v>413</v>
      </c>
      <c r="D60" s="13">
        <v>5558330126</v>
      </c>
      <c r="E60" s="13" t="s">
        <v>14</v>
      </c>
      <c r="F60" s="11" t="s">
        <v>414</v>
      </c>
      <c r="G60" s="11" t="s">
        <v>186</v>
      </c>
      <c r="H60" s="11" t="s">
        <v>190</v>
      </c>
      <c r="I60" s="14"/>
      <c r="J60" s="13">
        <v>26</v>
      </c>
      <c r="K60" s="15">
        <f t="shared" ca="1" si="8"/>
        <v>45987</v>
      </c>
      <c r="L60" s="16">
        <f t="shared" ca="1" si="9"/>
        <v>7</v>
      </c>
      <c r="M60" s="15">
        <f ca="1">IF(OR(B60="General - Recoradorio Exclusiones",B60="General - Recoradorio Exclusiones"),IF(WEEKDAY(K60,2)=6,(K60-VLOOKUP(B60,'-'!A:B,2,0)),IF(WEEKDAY(K60,2)=7,(K60-VLOOKUP(B60,'-'!A:B,2,0)),(K60-VLOOKUP(B60,'-'!A:B,2,0)))),IF(WEEKDAY(K60,2)=6,(K60-VLOOKUP(B60,'-'!A:B,2,0))-1,IF(WEEKDAY(K60,2)=7,(K60-VLOOKUP(B60,'-'!A:B,2,0))-2,(K60-VLOOKUP(B60,'-'!A:B,2,0)))))</f>
        <v>45987</v>
      </c>
      <c r="N60" s="16">
        <f t="shared" ca="1" si="10"/>
        <v>7</v>
      </c>
      <c r="O60" s="16" t="str">
        <f>""</f>
        <v/>
      </c>
      <c r="P60" s="16" t="str">
        <f t="shared" ca="1" si="11"/>
        <v/>
      </c>
      <c r="Q60" s="16" t="str">
        <f t="shared" ca="1" si="12"/>
        <v/>
      </c>
      <c r="R60" s="17" t="str">
        <f ca="1">IF(Q60="","",VLOOKUP(A60&amp;C60,'-'!D:E,2,0))</f>
        <v/>
      </c>
      <c r="S60" s="17" t="str">
        <f t="shared" ca="1" si="13"/>
        <v/>
      </c>
      <c r="T60" s="17" t="str">
        <f t="shared" ca="1" si="14"/>
        <v/>
      </c>
    </row>
    <row r="61" spans="1:20" x14ac:dyDescent="0.35">
      <c r="A61" s="12" t="s">
        <v>307</v>
      </c>
      <c r="B61" s="12" t="s">
        <v>306</v>
      </c>
      <c r="C61" s="12" t="s">
        <v>184</v>
      </c>
      <c r="D61" s="13">
        <v>7444620204</v>
      </c>
      <c r="E61" s="13" t="s">
        <v>14</v>
      </c>
      <c r="F61" s="11" t="s">
        <v>255</v>
      </c>
      <c r="G61" s="11" t="s">
        <v>186</v>
      </c>
      <c r="H61" s="11" t="s">
        <v>185</v>
      </c>
      <c r="I61" s="14"/>
      <c r="J61" s="13">
        <v>26</v>
      </c>
      <c r="K61" s="15">
        <f t="shared" ca="1" si="8"/>
        <v>45987</v>
      </c>
      <c r="L61" s="16">
        <f t="shared" ca="1" si="9"/>
        <v>7</v>
      </c>
      <c r="M61" s="15">
        <f ca="1">IF(OR(B61="General - Recoradorio Exclusiones",B61="General - Recoradorio Exclusiones"),IF(WEEKDAY(K61,2)=6,(K61-VLOOKUP(B61,'-'!A:B,2,0)),IF(WEEKDAY(K61,2)=7,(K61-VLOOKUP(B61,'-'!A:B,2,0)),(K61-VLOOKUP(B61,'-'!A:B,2,0)))),IF(WEEKDAY(K61,2)=6,(K61-VLOOKUP(B61,'-'!A:B,2,0))-1,IF(WEEKDAY(K61,2)=7,(K61-VLOOKUP(B61,'-'!A:B,2,0))-2,(K61-VLOOKUP(B61,'-'!A:B,2,0)))))</f>
        <v>45987</v>
      </c>
      <c r="N61" s="16">
        <f t="shared" ca="1" si="10"/>
        <v>7</v>
      </c>
      <c r="O61" s="16" t="str">
        <f>""</f>
        <v/>
      </c>
      <c r="P61" s="16" t="str">
        <f t="shared" ca="1" si="11"/>
        <v/>
      </c>
      <c r="Q61" s="16" t="str">
        <f t="shared" ca="1" si="12"/>
        <v/>
      </c>
      <c r="R61" s="17" t="str">
        <f ca="1">IF(Q61="","",VLOOKUP(A61&amp;C61,'-'!D:E,2,0))</f>
        <v/>
      </c>
      <c r="S61" s="17" t="str">
        <f t="shared" ca="1" si="13"/>
        <v/>
      </c>
      <c r="T61" s="17" t="str">
        <f t="shared" ca="1" si="14"/>
        <v/>
      </c>
    </row>
    <row r="62" spans="1:20" x14ac:dyDescent="0.35">
      <c r="A62" s="12" t="s">
        <v>383</v>
      </c>
      <c r="B62" s="12" t="s">
        <v>396</v>
      </c>
      <c r="C62" s="12" t="s">
        <v>397</v>
      </c>
      <c r="D62" s="12" t="s">
        <v>382</v>
      </c>
      <c r="E62" s="12" t="s">
        <v>250</v>
      </c>
      <c r="F62" s="11" t="str">
        <f ca="1">"Favor de enviarnos las 'bodegas a excluir' del proceso de facturación y las bodegas a las cuales 'no se les va a cobrar interés moratorio'."&amp;CHAR(10)&amp;CHAR(10)&amp;"La información debe ser enviada a más tardar el día &lt;"&amp;"31."&amp;IF(MONTH(M62)&lt;10,"0"&amp;MONTH(M62),MONTH(M62))&amp;"."&amp;YEAR(M62)&amp;"&gt;"&amp;CHAR(10)&amp;CHAR(10)&amp;"Deberá enviarse un solo correo electrónico, el cual contenga como adjunto el visto bueno del DM"&amp;CHAR(10)&amp;CHAR(10)&amp;"Estimados DMs"&amp;CHAR(10)&amp;"Por favor su apoyo con la revisión de las solicitudes"</f>
        <v>Favor de enviarnos las 'bodegas a excluir' del proceso de facturación y las bodegas a las cuales 'no se les va a cobrar interés moratorio'.
La información debe ser enviada a más tardar el día &lt;31.11.2025&gt;
Deberá enviarse un solo correo electrónico, el cual contenga como adjunto el visto bueno del DM
Estimados DMs
Por favor su apoyo con la revisión de las solicitudes</v>
      </c>
      <c r="H62" s="12"/>
      <c r="J62" s="13">
        <v>26</v>
      </c>
      <c r="K62" s="15">
        <f t="shared" ca="1" si="8"/>
        <v>45987</v>
      </c>
      <c r="L62" s="16">
        <f t="shared" ca="1" si="9"/>
        <v>7</v>
      </c>
      <c r="M62" s="15">
        <f ca="1">IF(OR(B62="General - Recoradorio Exclusiones",B62="General - Recoradorio Exclusiones"),IF(WEEKDAY(K62,2)=6,(K62-VLOOKUP(B62,'-'!A:B,2,0)),IF(WEEKDAY(K62,2)=7,(K62-VLOOKUP(B62,'-'!A:B,2,0)),(K62-VLOOKUP(B62,'-'!A:B,2,0)))),IF(WEEKDAY(K62,2)=6,(K62-VLOOKUP(B62,'-'!A:B,2,0))-1,IF(WEEKDAY(K62,2)=7,(K62-VLOOKUP(B62,'-'!A:B,2,0))-2,(K62-VLOOKUP(B62,'-'!A:B,2,0)))))</f>
        <v>45987</v>
      </c>
      <c r="N62" s="16">
        <f t="shared" ca="1" si="10"/>
        <v>7</v>
      </c>
      <c r="O62" s="16" t="str">
        <f>""</f>
        <v/>
      </c>
      <c r="P62" s="16" t="str">
        <f t="shared" ca="1" si="11"/>
        <v/>
      </c>
      <c r="Q62" s="16" t="str">
        <f t="shared" ca="1" si="12"/>
        <v/>
      </c>
      <c r="R62" s="17" t="str">
        <f ca="1">IF(Q62="","",VLOOKUP(A62&amp;C62,'-'!D:E,2,0))</f>
        <v/>
      </c>
      <c r="S62" s="17" t="str">
        <f t="shared" ca="1" si="13"/>
        <v/>
      </c>
      <c r="T62" s="17" t="str">
        <f t="shared" ca="1" si="14"/>
        <v/>
      </c>
    </row>
    <row r="63" spans="1:20" x14ac:dyDescent="0.35">
      <c r="A63" s="12" t="s">
        <v>307</v>
      </c>
      <c r="B63" s="12" t="s">
        <v>306</v>
      </c>
      <c r="C63" s="12" t="s">
        <v>206</v>
      </c>
      <c r="D63" s="13" t="s">
        <v>208</v>
      </c>
      <c r="E63" s="13" t="s">
        <v>15</v>
      </c>
      <c r="F63" s="11" t="s">
        <v>264</v>
      </c>
      <c r="G63" s="11" t="s">
        <v>209</v>
      </c>
      <c r="H63" s="11" t="s">
        <v>207</v>
      </c>
      <c r="I63" s="14"/>
      <c r="J63" s="13">
        <v>28</v>
      </c>
      <c r="K63" s="15">
        <f t="shared" ca="1" si="8"/>
        <v>45989</v>
      </c>
      <c r="L63" s="16">
        <f t="shared" ca="1" si="9"/>
        <v>9</v>
      </c>
      <c r="M63" s="15">
        <f ca="1">IF(OR(B63="General - Recoradorio Exclusiones",B63="General - Recoradorio Exclusiones"),IF(WEEKDAY(K63,2)=6,(K63-VLOOKUP(B63,'-'!A:B,2,0)),IF(WEEKDAY(K63,2)=7,(K63-VLOOKUP(B63,'-'!A:B,2,0)),(K63-VLOOKUP(B63,'-'!A:B,2,0)))),IF(WEEKDAY(K63,2)=6,(K63-VLOOKUP(B63,'-'!A:B,2,0))-1,IF(WEEKDAY(K63,2)=7,(K63-VLOOKUP(B63,'-'!A:B,2,0))-2,(K63-VLOOKUP(B63,'-'!A:B,2,0)))))</f>
        <v>45989</v>
      </c>
      <c r="N63" s="16">
        <f t="shared" ca="1" si="10"/>
        <v>9</v>
      </c>
      <c r="O63" s="16" t="str">
        <f>""</f>
        <v/>
      </c>
      <c r="P63" s="16" t="str">
        <f t="shared" ca="1" si="11"/>
        <v/>
      </c>
      <c r="Q63" s="16" t="str">
        <f t="shared" ca="1" si="12"/>
        <v/>
      </c>
      <c r="R63" s="17" t="str">
        <f ca="1">IF(Q63="","",VLOOKUP(A63&amp;C63,'-'!D:E,2,0))</f>
        <v/>
      </c>
      <c r="S63" s="17" t="str">
        <f t="shared" ca="1" si="13"/>
        <v/>
      </c>
      <c r="T63" s="17" t="str">
        <f t="shared" ca="1" si="14"/>
        <v/>
      </c>
    </row>
    <row r="64" spans="1:20" x14ac:dyDescent="0.35">
      <c r="A64" s="12" t="s">
        <v>307</v>
      </c>
      <c r="B64" s="12" t="s">
        <v>306</v>
      </c>
      <c r="C64" s="12" t="s">
        <v>201</v>
      </c>
      <c r="D64" s="13" t="s">
        <v>202</v>
      </c>
      <c r="E64" s="13" t="s">
        <v>15</v>
      </c>
      <c r="F64" s="11" t="s">
        <v>262</v>
      </c>
      <c r="G64" s="11" t="s">
        <v>203</v>
      </c>
      <c r="H64" s="11" t="s">
        <v>190</v>
      </c>
      <c r="I64" s="14"/>
      <c r="J64" s="13">
        <v>28</v>
      </c>
      <c r="K64" s="15">
        <f t="shared" ca="1" si="8"/>
        <v>45989</v>
      </c>
      <c r="L64" s="16">
        <f t="shared" ca="1" si="9"/>
        <v>9</v>
      </c>
      <c r="M64" s="15">
        <f ca="1">IF(OR(B64="General - Recoradorio Exclusiones",B64="General - Recoradorio Exclusiones"),IF(WEEKDAY(K64,2)=6,(K64-VLOOKUP(B64,'-'!A:B,2,0)),IF(WEEKDAY(K64,2)=7,(K64-VLOOKUP(B64,'-'!A:B,2,0)),(K64-VLOOKUP(B64,'-'!A:B,2,0)))),IF(WEEKDAY(K64,2)=6,(K64-VLOOKUP(B64,'-'!A:B,2,0))-1,IF(WEEKDAY(K64,2)=7,(K64-VLOOKUP(B64,'-'!A:B,2,0))-2,(K64-VLOOKUP(B64,'-'!A:B,2,0)))))</f>
        <v>45989</v>
      </c>
      <c r="N64" s="16">
        <f t="shared" ca="1" si="10"/>
        <v>9</v>
      </c>
      <c r="O64" s="16" t="str">
        <f>""</f>
        <v/>
      </c>
      <c r="P64" s="16" t="str">
        <f t="shared" ca="1" si="11"/>
        <v/>
      </c>
      <c r="Q64" s="16" t="str">
        <f t="shared" ca="1" si="12"/>
        <v/>
      </c>
      <c r="R64" s="17" t="str">
        <f ca="1">IF(Q64="","",VLOOKUP(A64&amp;C64,'-'!D:E,2,0))</f>
        <v/>
      </c>
      <c r="S64" s="17" t="str">
        <f t="shared" ca="1" si="13"/>
        <v/>
      </c>
      <c r="T64" s="17" t="str">
        <f t="shared" ca="1" si="14"/>
        <v/>
      </c>
    </row>
    <row r="65" spans="1:20" x14ac:dyDescent="0.35">
      <c r="A65" s="12" t="s">
        <v>307</v>
      </c>
      <c r="B65" s="12" t="s">
        <v>306</v>
      </c>
      <c r="C65" s="12" t="s">
        <v>210</v>
      </c>
      <c r="D65" s="13" t="s">
        <v>399</v>
      </c>
      <c r="E65" s="13" t="s">
        <v>15</v>
      </c>
      <c r="F65" s="11" t="s">
        <v>266</v>
      </c>
      <c r="G65" s="11" t="s">
        <v>211</v>
      </c>
      <c r="H65" s="11" t="s">
        <v>190</v>
      </c>
      <c r="I65" s="14"/>
      <c r="J65" s="13">
        <v>28</v>
      </c>
      <c r="K65" s="15">
        <f t="shared" ca="1" si="8"/>
        <v>45989</v>
      </c>
      <c r="L65" s="16">
        <f t="shared" ca="1" si="9"/>
        <v>9</v>
      </c>
      <c r="M65" s="15">
        <f ca="1">IF(OR(B65="General - Recoradorio Exclusiones",B65="General - Recoradorio Exclusiones"),IF(WEEKDAY(K65,2)=6,(K65-VLOOKUP(B65,'-'!A:B,2,0)),IF(WEEKDAY(K65,2)=7,(K65-VLOOKUP(B65,'-'!A:B,2,0)),(K65-VLOOKUP(B65,'-'!A:B,2,0)))),IF(WEEKDAY(K65,2)=6,(K65-VLOOKUP(B65,'-'!A:B,2,0))-1,IF(WEEKDAY(K65,2)=7,(K65-VLOOKUP(B65,'-'!A:B,2,0))-2,(K65-VLOOKUP(B65,'-'!A:B,2,0)))))</f>
        <v>45989</v>
      </c>
      <c r="N65" s="16">
        <f t="shared" ca="1" si="10"/>
        <v>9</v>
      </c>
      <c r="O65" s="16" t="str">
        <f>""</f>
        <v/>
      </c>
      <c r="P65" s="16" t="str">
        <f t="shared" ca="1" si="11"/>
        <v/>
      </c>
      <c r="Q65" s="16" t="str">
        <f t="shared" ca="1" si="12"/>
        <v/>
      </c>
      <c r="R65" s="17" t="str">
        <f ca="1">IF(Q65="","",VLOOKUP(A65&amp;C65,'-'!D:E,2,0))</f>
        <v/>
      </c>
      <c r="S65" s="17" t="str">
        <f t="shared" ca="1" si="13"/>
        <v/>
      </c>
      <c r="T65" s="17" t="str">
        <f t="shared" ca="1" si="14"/>
        <v/>
      </c>
    </row>
    <row r="66" spans="1:20" x14ac:dyDescent="0.35">
      <c r="A66" s="12" t="s">
        <v>383</v>
      </c>
      <c r="B66" s="12" t="s">
        <v>760</v>
      </c>
      <c r="C66" s="12" t="s">
        <v>758</v>
      </c>
      <c r="D66" s="12" t="s">
        <v>410</v>
      </c>
      <c r="E66" s="12" t="s">
        <v>250</v>
      </c>
      <c r="F66" s="11" t="s">
        <v>762</v>
      </c>
      <c r="J66" s="13">
        <v>30</v>
      </c>
      <c r="K66" s="15">
        <f t="shared" ref="K66:K97" ca="1" si="15">IF(I66="",IF(TODAY()&lt;=(DATE(YEAR(TODAY()),MONTH(TODAY()),J66)),DATE(YEAR(TODAY()),MONTH(TODAY()),J66),DATE(YEAR(TODAY()),MONTH(TODAY())+1,J66)),I66)</f>
        <v>45991</v>
      </c>
      <c r="L66" s="16">
        <f t="shared" ref="L66:L97" ca="1" si="16">(K66-TODAY())</f>
        <v>11</v>
      </c>
      <c r="M66" s="15">
        <f ca="1">IF(OR(B66="General - Recoradorio Exclusiones",B66="General - Recoradorio Exclusiones"),IF(WEEKDAY(K66,2)=6,(K66-VLOOKUP(B66,'-'!A:B,2,0)),IF(WEEKDAY(K66,2)=7,(K66-VLOOKUP(B66,'-'!A:B,2,0)),(K66-VLOOKUP(B66,'-'!A:B,2,0)))),IF(WEEKDAY(K66,2)=6,(K66-VLOOKUP(B66,'-'!A:B,2,0))-1,IF(WEEKDAY(K66,2)=7,(K66-VLOOKUP(B66,'-'!A:B,2,0))-2,(K66-VLOOKUP(B66,'-'!A:B,2,0)))))</f>
        <v>45987</v>
      </c>
      <c r="N66" s="16">
        <f t="shared" ref="N66:N97" ca="1" si="17">MAX(0,M66-TODAY())</f>
        <v>7</v>
      </c>
      <c r="O66" s="16" t="str">
        <f>""</f>
        <v/>
      </c>
      <c r="P66" s="16" t="str">
        <f t="shared" ref="P66:P97" ca="1" si="18">IF(AND(N66&lt;&gt;0,O66="X"),"Reiniciar","")</f>
        <v/>
      </c>
      <c r="Q66" s="16" t="str">
        <f t="shared" ref="Q66:Q97" ca="1" si="19">IF(N66=0,IF(O66="","Notificar",""),"")</f>
        <v/>
      </c>
      <c r="R66" s="17" t="str">
        <f ca="1">IF(Q66="","",VLOOKUP(A66&amp;C66,'-'!D:E,2,0))</f>
        <v/>
      </c>
      <c r="S66" s="17" t="str">
        <f t="shared" ref="S66:S97" ca="1" si="20">IF(R66="","",IF(ISERROR(SEARCH("General",B66)),IF(ISERROR(SEARCH("caducidad",B66)),B66&amp;" telecomunicaciones | "&amp;C66,B66&amp;" | "&amp;D66),B66))</f>
        <v/>
      </c>
      <c r="T66" s="17" t="str">
        <f t="shared" ref="T66:T97" ca="1" si="21">IF(Q66="","",IF(ISERROR(SEARCH("General",B66)),IF(ISERROR(SEARCH("caducidad",B66)),B66&amp;" telecomunicaciones: "&amp;C66&amp;CHAR(10)&amp;E66&amp;": "&amp;D66&amp;CHAR(10)&amp;G66&amp;CHAR(10)&amp;"Fecha de pago: "&amp;IF(DAY(K66)&lt;10,"0"&amp;DAY(K66),DAY(K66))&amp;"."&amp;IF(MONTH(K66)&lt;10,"0"&amp;MONTH(K66),MONTH(K66))&amp;"."&amp;YEAR(K66)&amp;CHAR(10)&amp;CHAR(10)&amp;IF(E66="totalplay","Por favor, de ser posible busquemos la descarga directa de la plataforma del proveedor, recordemos que al pagar a tiempo se mejora el precio de factura.","Por favor, de ser posible busquemos la descarga directa de la plataforma del proveedor, evitemos recortes o perdida de servicio."),B66&amp;CHAR(10)&amp;E66&amp;CHAR(10)&amp;D66&amp;CHAR(10)&amp;"Fin de caducidad: "&amp;IF(DAY(K66)&lt;10,"0"&amp;DAY(K66),DAY(K66))&amp;"."&amp;IF(MONTH(K66)&lt;10,"0"&amp;MONTH(K66),MONTH(K66))&amp;"."&amp;YEAR(K66)&amp;CHAR(10)&amp;L66&amp;" Dias"),F66))</f>
        <v/>
      </c>
    </row>
    <row r="67" spans="1:20" x14ac:dyDescent="0.35">
      <c r="A67" s="12" t="s">
        <v>383</v>
      </c>
      <c r="B67" s="12" t="s">
        <v>442</v>
      </c>
      <c r="C67" s="12" t="s">
        <v>437</v>
      </c>
      <c r="D67" s="12" t="s">
        <v>454</v>
      </c>
      <c r="E67" s="12" t="s">
        <v>436</v>
      </c>
      <c r="F67" s="11" t="s">
        <v>439</v>
      </c>
      <c r="J67" s="13">
        <v>3</v>
      </c>
      <c r="K67" s="15">
        <f t="shared" ca="1" si="15"/>
        <v>45994</v>
      </c>
      <c r="L67" s="16">
        <f t="shared" ca="1" si="16"/>
        <v>14</v>
      </c>
      <c r="M67" s="15">
        <f ca="1">IF(OR(B67="General - Recoradorio Exclusiones",B67="General - Recoradorio Exclusiones"),IF(WEEKDAY(K67,2)=6,(K67-VLOOKUP(B67,'-'!A:B,2,0)),IF(WEEKDAY(K67,2)=7,(K67-VLOOKUP(B67,'-'!A:B,2,0)),(K67-VLOOKUP(B67,'-'!A:B,2,0)))),IF(WEEKDAY(K67,2)=6,(K67-VLOOKUP(B67,'-'!A:B,2,0))-1,IF(WEEKDAY(K67,2)=7,(K67-VLOOKUP(B67,'-'!A:B,2,0))-2,(K67-VLOOKUP(B67,'-'!A:B,2,0)))))</f>
        <v>45990</v>
      </c>
      <c r="N67" s="16">
        <f t="shared" ca="1" si="17"/>
        <v>10</v>
      </c>
      <c r="O67" s="16" t="str">
        <f>""</f>
        <v/>
      </c>
      <c r="P67" s="16" t="str">
        <f t="shared" ca="1" si="18"/>
        <v/>
      </c>
      <c r="Q67" s="16" t="str">
        <f t="shared" ca="1" si="19"/>
        <v/>
      </c>
      <c r="R67" s="17" t="str">
        <f ca="1">IF(Q67="","",VLOOKUP(A67&amp;C67,'-'!D:E,2,0))</f>
        <v/>
      </c>
      <c r="S67" s="17" t="str">
        <f t="shared" ca="1" si="20"/>
        <v/>
      </c>
      <c r="T67" s="17" t="str">
        <f t="shared" ca="1" si="21"/>
        <v/>
      </c>
    </row>
    <row r="68" spans="1:20" x14ac:dyDescent="0.35">
      <c r="A68" s="12" t="s">
        <v>307</v>
      </c>
      <c r="B68" s="12" t="s">
        <v>306</v>
      </c>
      <c r="C68" s="12" t="s">
        <v>1250</v>
      </c>
      <c r="D68" s="13" t="s">
        <v>1253</v>
      </c>
      <c r="E68" s="13" t="s">
        <v>15</v>
      </c>
      <c r="F68" s="11" t="s">
        <v>1254</v>
      </c>
      <c r="G68" s="11" t="s">
        <v>204</v>
      </c>
      <c r="H68" s="11" t="s">
        <v>708</v>
      </c>
      <c r="I68" s="14"/>
      <c r="J68" s="13">
        <v>30</v>
      </c>
      <c r="K68" s="15">
        <f t="shared" ca="1" si="15"/>
        <v>45991</v>
      </c>
      <c r="L68" s="16">
        <f t="shared" ca="1" si="16"/>
        <v>11</v>
      </c>
      <c r="M68" s="15">
        <f ca="1">IF(OR(B68="General - Recoradorio Exclusiones",B68="General - Recoradorio Exclusiones"),IF(WEEKDAY(K68,2)=6,(K68-VLOOKUP(B68,'-'!A:B,2,0)),IF(WEEKDAY(K68,2)=7,(K68-VLOOKUP(B68,'-'!A:B,2,0)),(K68-VLOOKUP(B68,'-'!A:B,2,0)))),IF(WEEKDAY(K68,2)=6,(K68-VLOOKUP(B68,'-'!A:B,2,0))-1,IF(WEEKDAY(K68,2)=7,(K68-VLOOKUP(B68,'-'!A:B,2,0))-2,(K68-VLOOKUP(B68,'-'!A:B,2,0)))))</f>
        <v>45989</v>
      </c>
      <c r="N68" s="16">
        <f t="shared" ca="1" si="17"/>
        <v>9</v>
      </c>
      <c r="O68" s="16" t="str">
        <f>""</f>
        <v/>
      </c>
      <c r="P68" s="16" t="str">
        <f t="shared" ca="1" si="18"/>
        <v/>
      </c>
      <c r="Q68" s="16" t="str">
        <f t="shared" ca="1" si="19"/>
        <v/>
      </c>
      <c r="R68" s="17" t="str">
        <f ca="1">IF(Q68="","",VLOOKUP(A68&amp;C68,'-'!D:E,2,0))</f>
        <v/>
      </c>
      <c r="S68" s="17" t="str">
        <f t="shared" ca="1" si="20"/>
        <v/>
      </c>
      <c r="T68" s="17" t="str">
        <f t="shared" ca="1" si="21"/>
        <v/>
      </c>
    </row>
    <row r="69" spans="1:20" x14ac:dyDescent="0.35">
      <c r="A69" s="12" t="s">
        <v>307</v>
      </c>
      <c r="B69" s="12" t="s">
        <v>306</v>
      </c>
      <c r="C69" s="12" t="s">
        <v>1251</v>
      </c>
      <c r="D69" s="13" t="s">
        <v>1255</v>
      </c>
      <c r="E69" s="13" t="s">
        <v>15</v>
      </c>
      <c r="F69" s="11" t="s">
        <v>1256</v>
      </c>
      <c r="G69" s="11" t="s">
        <v>204</v>
      </c>
      <c r="H69" s="11" t="s">
        <v>708</v>
      </c>
      <c r="I69" s="14"/>
      <c r="J69" s="13">
        <v>1</v>
      </c>
      <c r="K69" s="15">
        <f t="shared" ca="1" si="15"/>
        <v>45992</v>
      </c>
      <c r="L69" s="16">
        <f t="shared" ca="1" si="16"/>
        <v>12</v>
      </c>
      <c r="M69" s="15">
        <f ca="1">IF(OR(B69="General - Recoradorio Exclusiones",B69="General - Recoradorio Exclusiones"),IF(WEEKDAY(K69,2)=6,(K69-VLOOKUP(B69,'-'!A:B,2,0)),IF(WEEKDAY(K69,2)=7,(K69-VLOOKUP(B69,'-'!A:B,2,0)),(K69-VLOOKUP(B69,'-'!A:B,2,0)))),IF(WEEKDAY(K69,2)=6,(K69-VLOOKUP(B69,'-'!A:B,2,0))-1,IF(WEEKDAY(K69,2)=7,(K69-VLOOKUP(B69,'-'!A:B,2,0))-2,(K69-VLOOKUP(B69,'-'!A:B,2,0)))))</f>
        <v>45992</v>
      </c>
      <c r="N69" s="16">
        <f t="shared" ca="1" si="17"/>
        <v>12</v>
      </c>
      <c r="O69" s="16" t="str">
        <f>""</f>
        <v/>
      </c>
      <c r="P69" s="16" t="str">
        <f t="shared" ca="1" si="18"/>
        <v/>
      </c>
      <c r="Q69" s="16" t="str">
        <f t="shared" ca="1" si="19"/>
        <v/>
      </c>
      <c r="R69" s="17" t="str">
        <f ca="1">IF(Q69="","",VLOOKUP(A69&amp;C69,'-'!D:E,2,0))</f>
        <v/>
      </c>
      <c r="S69" s="17" t="str">
        <f t="shared" ca="1" si="20"/>
        <v/>
      </c>
      <c r="T69" s="17" t="str">
        <f t="shared" ca="1" si="21"/>
        <v/>
      </c>
    </row>
    <row r="70" spans="1:20" x14ac:dyDescent="0.35">
      <c r="A70" s="12" t="s">
        <v>307</v>
      </c>
      <c r="B70" s="12" t="s">
        <v>306</v>
      </c>
      <c r="C70" s="12" t="s">
        <v>233</v>
      </c>
      <c r="D70" s="13">
        <v>5554401476</v>
      </c>
      <c r="E70" s="13" t="s">
        <v>14</v>
      </c>
      <c r="F70" s="11" t="s">
        <v>278</v>
      </c>
      <c r="G70" s="11" t="s">
        <v>186</v>
      </c>
      <c r="H70" s="11" t="s">
        <v>190</v>
      </c>
      <c r="I70" s="14"/>
      <c r="J70" s="13">
        <v>1</v>
      </c>
      <c r="K70" s="15">
        <f t="shared" ca="1" si="15"/>
        <v>45992</v>
      </c>
      <c r="L70" s="16">
        <f t="shared" ca="1" si="16"/>
        <v>12</v>
      </c>
      <c r="M70" s="15">
        <f ca="1">IF(OR(B70="General - Recoradorio Exclusiones",B70="General - Recoradorio Exclusiones"),IF(WEEKDAY(K70,2)=6,(K70-VLOOKUP(B70,'-'!A:B,2,0)),IF(WEEKDAY(K70,2)=7,(K70-VLOOKUP(B70,'-'!A:B,2,0)),(K70-VLOOKUP(B70,'-'!A:B,2,0)))),IF(WEEKDAY(K70,2)=6,(K70-VLOOKUP(B70,'-'!A:B,2,0))-1,IF(WEEKDAY(K70,2)=7,(K70-VLOOKUP(B70,'-'!A:B,2,0))-2,(K70-VLOOKUP(B70,'-'!A:B,2,0)))))</f>
        <v>45992</v>
      </c>
      <c r="N70" s="16">
        <f t="shared" ca="1" si="17"/>
        <v>12</v>
      </c>
      <c r="O70" s="16" t="str">
        <f>""</f>
        <v/>
      </c>
      <c r="P70" s="16" t="str">
        <f t="shared" ca="1" si="18"/>
        <v/>
      </c>
      <c r="Q70" s="16" t="str">
        <f t="shared" ca="1" si="19"/>
        <v/>
      </c>
      <c r="R70" s="17" t="str">
        <f ca="1">IF(Q70="","",VLOOKUP(A70&amp;C70,'-'!D:E,2,0))</f>
        <v/>
      </c>
      <c r="S70" s="17" t="str">
        <f t="shared" ca="1" si="20"/>
        <v/>
      </c>
      <c r="T70" s="17" t="str">
        <f t="shared" ca="1" si="21"/>
        <v/>
      </c>
    </row>
    <row r="71" spans="1:20" x14ac:dyDescent="0.35">
      <c r="A71" s="12" t="s">
        <v>307</v>
      </c>
      <c r="B71" s="12" t="s">
        <v>306</v>
      </c>
      <c r="C71" s="12" t="s">
        <v>187</v>
      </c>
      <c r="D71" s="13">
        <v>5555187281</v>
      </c>
      <c r="E71" s="13" t="s">
        <v>14</v>
      </c>
      <c r="F71" s="11" t="s">
        <v>256</v>
      </c>
      <c r="G71" s="11" t="s">
        <v>186</v>
      </c>
      <c r="H71" s="11" t="s">
        <v>188</v>
      </c>
      <c r="I71" s="14"/>
      <c r="J71" s="13">
        <v>1</v>
      </c>
      <c r="K71" s="15">
        <f t="shared" ca="1" si="15"/>
        <v>45992</v>
      </c>
      <c r="L71" s="16">
        <f t="shared" ca="1" si="16"/>
        <v>12</v>
      </c>
      <c r="M71" s="15">
        <f ca="1">IF(OR(B71="General - Recoradorio Exclusiones",B71="General - Recoradorio Exclusiones"),IF(WEEKDAY(K71,2)=6,(K71-VLOOKUP(B71,'-'!A:B,2,0)),IF(WEEKDAY(K71,2)=7,(K71-VLOOKUP(B71,'-'!A:B,2,0)),(K71-VLOOKUP(B71,'-'!A:B,2,0)))),IF(WEEKDAY(K71,2)=6,(K71-VLOOKUP(B71,'-'!A:B,2,0))-1,IF(WEEKDAY(K71,2)=7,(K71-VLOOKUP(B71,'-'!A:B,2,0))-2,(K71-VLOOKUP(B71,'-'!A:B,2,0)))))</f>
        <v>45992</v>
      </c>
      <c r="N71" s="16">
        <f t="shared" ca="1" si="17"/>
        <v>12</v>
      </c>
      <c r="O71" s="16" t="str">
        <f>""</f>
        <v/>
      </c>
      <c r="P71" s="16" t="str">
        <f t="shared" ca="1" si="18"/>
        <v/>
      </c>
      <c r="Q71" s="16" t="str">
        <f t="shared" ca="1" si="19"/>
        <v/>
      </c>
      <c r="R71" s="17" t="str">
        <f ca="1">IF(Q71="","",VLOOKUP(A71&amp;C71,'-'!D:E,2,0))</f>
        <v/>
      </c>
      <c r="S71" s="17" t="str">
        <f t="shared" ca="1" si="20"/>
        <v/>
      </c>
      <c r="T71" s="17" t="str">
        <f t="shared" ca="1" si="21"/>
        <v/>
      </c>
    </row>
    <row r="72" spans="1:20" x14ac:dyDescent="0.35">
      <c r="A72" s="12" t="s">
        <v>383</v>
      </c>
      <c r="B72" s="12" t="s">
        <v>409</v>
      </c>
      <c r="C72" s="12" t="s">
        <v>405</v>
      </c>
      <c r="D72" s="12" t="s">
        <v>406</v>
      </c>
      <c r="E72" s="12" t="s">
        <v>405</v>
      </c>
      <c r="F72" s="11" t="s">
        <v>407</v>
      </c>
      <c r="J72" s="13">
        <v>1</v>
      </c>
      <c r="K72" s="15">
        <f t="shared" ca="1" si="15"/>
        <v>45992</v>
      </c>
      <c r="L72" s="16">
        <f t="shared" ca="1" si="16"/>
        <v>12</v>
      </c>
      <c r="M72" s="15">
        <f ca="1">IF(OR(B72="General - Recoradorio Exclusiones",B72="General - Recoradorio Exclusiones"),IF(WEEKDAY(K72,2)=6,(K72-VLOOKUP(B72,'-'!A:B,2,0)),IF(WEEKDAY(K72,2)=7,(K72-VLOOKUP(B72,'-'!A:B,2,0)),(K72-VLOOKUP(B72,'-'!A:B,2,0)))),IF(WEEKDAY(K72,2)=6,(K72-VLOOKUP(B72,'-'!A:B,2,0))-1,IF(WEEKDAY(K72,2)=7,(K72-VLOOKUP(B72,'-'!A:B,2,0))-2,(K72-VLOOKUP(B72,'-'!A:B,2,0)))))</f>
        <v>45992</v>
      </c>
      <c r="N72" s="16">
        <f t="shared" ca="1" si="17"/>
        <v>12</v>
      </c>
      <c r="O72" s="16" t="str">
        <f>""</f>
        <v/>
      </c>
      <c r="P72" s="16" t="str">
        <f t="shared" ca="1" si="18"/>
        <v/>
      </c>
      <c r="Q72" s="16" t="str">
        <f t="shared" ca="1" si="19"/>
        <v/>
      </c>
      <c r="R72" s="17" t="str">
        <f ca="1">IF(Q72="","",VLOOKUP(A72&amp;C72,'-'!D:E,2,0))</f>
        <v/>
      </c>
      <c r="S72" s="17" t="str">
        <f t="shared" ca="1" si="20"/>
        <v/>
      </c>
      <c r="T72" s="17" t="str">
        <f t="shared" ca="1" si="21"/>
        <v/>
      </c>
    </row>
    <row r="73" spans="1:20" x14ac:dyDescent="0.35">
      <c r="A73" s="12" t="s">
        <v>307</v>
      </c>
      <c r="B73" s="12" t="s">
        <v>306</v>
      </c>
      <c r="C73" s="12" t="s">
        <v>233</v>
      </c>
      <c r="D73" s="13" t="s">
        <v>234</v>
      </c>
      <c r="E73" s="13" t="s">
        <v>15</v>
      </c>
      <c r="F73" s="11" t="s">
        <v>277</v>
      </c>
      <c r="G73" s="11" t="s">
        <v>203</v>
      </c>
      <c r="H73" s="11" t="s">
        <v>190</v>
      </c>
      <c r="I73" s="14"/>
      <c r="J73" s="13">
        <v>3</v>
      </c>
      <c r="K73" s="15">
        <f t="shared" ca="1" si="15"/>
        <v>45994</v>
      </c>
      <c r="L73" s="16">
        <f t="shared" ca="1" si="16"/>
        <v>14</v>
      </c>
      <c r="M73" s="15">
        <f ca="1">IF(OR(B73="General - Recoradorio Exclusiones",B73="General - Recoradorio Exclusiones"),IF(WEEKDAY(K73,2)=6,(K73-VLOOKUP(B73,'-'!A:B,2,0)),IF(WEEKDAY(K73,2)=7,(K73-VLOOKUP(B73,'-'!A:B,2,0)),(K73-VLOOKUP(B73,'-'!A:B,2,0)))),IF(WEEKDAY(K73,2)=6,(K73-VLOOKUP(B73,'-'!A:B,2,0))-1,IF(WEEKDAY(K73,2)=7,(K73-VLOOKUP(B73,'-'!A:B,2,0))-2,(K73-VLOOKUP(B73,'-'!A:B,2,0)))))</f>
        <v>45994</v>
      </c>
      <c r="N73" s="16">
        <f t="shared" ca="1" si="17"/>
        <v>14</v>
      </c>
      <c r="O73" s="16" t="str">
        <f>""</f>
        <v/>
      </c>
      <c r="P73" s="16" t="str">
        <f t="shared" ca="1" si="18"/>
        <v/>
      </c>
      <c r="Q73" s="16" t="str">
        <f t="shared" ca="1" si="19"/>
        <v/>
      </c>
      <c r="R73" s="17" t="str">
        <f ca="1">IF(Q73="","",VLOOKUP(A73&amp;C73,'-'!D:E,2,0))</f>
        <v/>
      </c>
      <c r="S73" s="17" t="str">
        <f t="shared" ca="1" si="20"/>
        <v/>
      </c>
      <c r="T73" s="17" t="str">
        <f t="shared" ca="1" si="21"/>
        <v/>
      </c>
    </row>
    <row r="74" spans="1:20" x14ac:dyDescent="0.35">
      <c r="A74" s="12" t="s">
        <v>307</v>
      </c>
      <c r="B74" s="12" t="s">
        <v>306</v>
      </c>
      <c r="C74" s="12" t="s">
        <v>201</v>
      </c>
      <c r="D74" s="13">
        <v>5556056698</v>
      </c>
      <c r="E74" s="13" t="s">
        <v>14</v>
      </c>
      <c r="F74" s="11" t="s">
        <v>263</v>
      </c>
      <c r="G74" s="11" t="s">
        <v>186</v>
      </c>
      <c r="H74" s="11" t="s">
        <v>190</v>
      </c>
      <c r="I74" s="14"/>
      <c r="J74" s="13">
        <v>2</v>
      </c>
      <c r="K74" s="15">
        <f t="shared" ca="1" si="15"/>
        <v>45993</v>
      </c>
      <c r="L74" s="16">
        <f t="shared" ca="1" si="16"/>
        <v>13</v>
      </c>
      <c r="M74" s="15">
        <f ca="1">IF(OR(B74="General - Recoradorio Exclusiones",B74="General - Recoradorio Exclusiones"),IF(WEEKDAY(K74,2)=6,(K74-VLOOKUP(B74,'-'!A:B,2,0)),IF(WEEKDAY(K74,2)=7,(K74-VLOOKUP(B74,'-'!A:B,2,0)),(K74-VLOOKUP(B74,'-'!A:B,2,0)))),IF(WEEKDAY(K74,2)=6,(K74-VLOOKUP(B74,'-'!A:B,2,0))-1,IF(WEEKDAY(K74,2)=7,(K74-VLOOKUP(B74,'-'!A:B,2,0))-2,(K74-VLOOKUP(B74,'-'!A:B,2,0)))))</f>
        <v>45993</v>
      </c>
      <c r="N74" s="16">
        <f t="shared" ca="1" si="17"/>
        <v>13</v>
      </c>
      <c r="O74" s="16" t="str">
        <f>""</f>
        <v/>
      </c>
      <c r="P74" s="16" t="str">
        <f t="shared" ca="1" si="18"/>
        <v/>
      </c>
      <c r="Q74" s="16" t="str">
        <f t="shared" ca="1" si="19"/>
        <v/>
      </c>
      <c r="R74" s="17" t="str">
        <f ca="1">IF(Q74="","",VLOOKUP(A74&amp;C74,'-'!D:E,2,0))</f>
        <v/>
      </c>
      <c r="S74" s="17" t="str">
        <f t="shared" ca="1" si="20"/>
        <v/>
      </c>
      <c r="T74" s="17" t="str">
        <f t="shared" ca="1" si="21"/>
        <v/>
      </c>
    </row>
    <row r="75" spans="1:20" x14ac:dyDescent="0.35">
      <c r="A75" s="12" t="s">
        <v>383</v>
      </c>
      <c r="B75" s="12" t="s">
        <v>760</v>
      </c>
      <c r="C75" s="12" t="s">
        <v>758</v>
      </c>
      <c r="D75" s="12" t="s">
        <v>410</v>
      </c>
      <c r="E75" s="12" t="s">
        <v>250</v>
      </c>
      <c r="F75" s="11" t="s">
        <v>761</v>
      </c>
      <c r="J75" s="13">
        <v>5</v>
      </c>
      <c r="K75" s="15">
        <f t="shared" ca="1" si="15"/>
        <v>45996</v>
      </c>
      <c r="L75" s="16">
        <f t="shared" ca="1" si="16"/>
        <v>16</v>
      </c>
      <c r="M75" s="15">
        <f ca="1">IF(OR(B75="General - Recoradorio Exclusiones",B75="General - Recoradorio Exclusiones"),IF(WEEKDAY(K75,2)=6,(K75-VLOOKUP(B75,'-'!A:B,2,0)),IF(WEEKDAY(K75,2)=7,(K75-VLOOKUP(B75,'-'!A:B,2,0)),(K75-VLOOKUP(B75,'-'!A:B,2,0)))),IF(WEEKDAY(K75,2)=6,(K75-VLOOKUP(B75,'-'!A:B,2,0))-1,IF(WEEKDAY(K75,2)=7,(K75-VLOOKUP(B75,'-'!A:B,2,0))-2,(K75-VLOOKUP(B75,'-'!A:B,2,0)))))</f>
        <v>45994</v>
      </c>
      <c r="N75" s="16">
        <f t="shared" ca="1" si="17"/>
        <v>14</v>
      </c>
      <c r="O75" s="16" t="str">
        <f>""</f>
        <v/>
      </c>
      <c r="P75" s="16" t="str">
        <f t="shared" ca="1" si="18"/>
        <v/>
      </c>
      <c r="Q75" s="16" t="str">
        <f t="shared" ca="1" si="19"/>
        <v/>
      </c>
      <c r="R75" s="17" t="str">
        <f ca="1">IF(Q75="","",VLOOKUP(A75&amp;C75,'-'!D:E,2,0))</f>
        <v/>
      </c>
      <c r="S75" s="17" t="str">
        <f t="shared" ca="1" si="20"/>
        <v/>
      </c>
      <c r="T75" s="17" t="str">
        <f t="shared" ca="1" si="21"/>
        <v/>
      </c>
    </row>
    <row r="76" spans="1:20" x14ac:dyDescent="0.35">
      <c r="A76" s="12" t="s">
        <v>307</v>
      </c>
      <c r="B76" s="12" t="s">
        <v>306</v>
      </c>
      <c r="C76" s="12" t="s">
        <v>223</v>
      </c>
      <c r="D76" s="13" t="s">
        <v>224</v>
      </c>
      <c r="E76" s="13" t="s">
        <v>15</v>
      </c>
      <c r="F76" s="11" t="s">
        <v>272</v>
      </c>
      <c r="G76" s="11" t="s">
        <v>225</v>
      </c>
      <c r="H76" s="11" t="s">
        <v>190</v>
      </c>
      <c r="I76" s="14"/>
      <c r="J76" s="13">
        <v>6</v>
      </c>
      <c r="K76" s="15">
        <f t="shared" ca="1" si="15"/>
        <v>45997</v>
      </c>
      <c r="L76" s="16">
        <f t="shared" ca="1" si="16"/>
        <v>17</v>
      </c>
      <c r="M76" s="15">
        <f ca="1">IF(OR(B76="General - Recoradorio Exclusiones",B76="General - Recoradorio Exclusiones"),IF(WEEKDAY(K76,2)=6,(K76-VLOOKUP(B76,'-'!A:B,2,0)),IF(WEEKDAY(K76,2)=7,(K76-VLOOKUP(B76,'-'!A:B,2,0)),(K76-VLOOKUP(B76,'-'!A:B,2,0)))),IF(WEEKDAY(K76,2)=6,(K76-VLOOKUP(B76,'-'!A:B,2,0))-1,IF(WEEKDAY(K76,2)=7,(K76-VLOOKUP(B76,'-'!A:B,2,0))-2,(K76-VLOOKUP(B76,'-'!A:B,2,0)))))</f>
        <v>45996</v>
      </c>
      <c r="N76" s="16">
        <f t="shared" ca="1" si="17"/>
        <v>16</v>
      </c>
      <c r="O76" s="16" t="str">
        <f>""</f>
        <v/>
      </c>
      <c r="P76" s="16" t="str">
        <f t="shared" ca="1" si="18"/>
        <v/>
      </c>
      <c r="Q76" s="16" t="str">
        <f t="shared" ca="1" si="19"/>
        <v/>
      </c>
      <c r="R76" s="17" t="str">
        <f ca="1">IF(Q76="","",VLOOKUP(A76&amp;C76,'-'!D:E,2,0))</f>
        <v/>
      </c>
      <c r="S76" s="17" t="str">
        <f t="shared" ca="1" si="20"/>
        <v/>
      </c>
      <c r="T76" s="17" t="str">
        <f t="shared" ca="1" si="21"/>
        <v/>
      </c>
    </row>
    <row r="77" spans="1:20" x14ac:dyDescent="0.35">
      <c r="A77" s="12" t="s">
        <v>307</v>
      </c>
      <c r="B77" s="12" t="s">
        <v>306</v>
      </c>
      <c r="C77" s="12" t="s">
        <v>226</v>
      </c>
      <c r="D77" s="13" t="s">
        <v>404</v>
      </c>
      <c r="E77" s="13" t="s">
        <v>227</v>
      </c>
      <c r="F77" s="11" t="s">
        <v>273</v>
      </c>
      <c r="G77" s="11" t="s">
        <v>228</v>
      </c>
      <c r="H77" s="11" t="s">
        <v>222</v>
      </c>
      <c r="I77" s="14"/>
      <c r="J77" s="13">
        <v>6</v>
      </c>
      <c r="K77" s="15">
        <f t="shared" ca="1" si="15"/>
        <v>45997</v>
      </c>
      <c r="L77" s="16">
        <f t="shared" ca="1" si="16"/>
        <v>17</v>
      </c>
      <c r="M77" s="15">
        <f ca="1">IF(OR(B77="General - Recoradorio Exclusiones",B77="General - Recoradorio Exclusiones"),IF(WEEKDAY(K77,2)=6,(K77-VLOOKUP(B77,'-'!A:B,2,0)),IF(WEEKDAY(K77,2)=7,(K77-VLOOKUP(B77,'-'!A:B,2,0)),(K77-VLOOKUP(B77,'-'!A:B,2,0)))),IF(WEEKDAY(K77,2)=6,(K77-VLOOKUP(B77,'-'!A:B,2,0))-1,IF(WEEKDAY(K77,2)=7,(K77-VLOOKUP(B77,'-'!A:B,2,0))-2,(K77-VLOOKUP(B77,'-'!A:B,2,0)))))</f>
        <v>45996</v>
      </c>
      <c r="N77" s="16">
        <f t="shared" ca="1" si="17"/>
        <v>16</v>
      </c>
      <c r="O77" s="16" t="str">
        <f>""</f>
        <v/>
      </c>
      <c r="P77" s="16" t="str">
        <f t="shared" ca="1" si="18"/>
        <v/>
      </c>
      <c r="Q77" s="16" t="str">
        <f t="shared" ca="1" si="19"/>
        <v/>
      </c>
      <c r="R77" s="17" t="str">
        <f ca="1">IF(Q77="","",VLOOKUP(A77&amp;C77,'-'!D:E,2,0))</f>
        <v/>
      </c>
      <c r="S77" s="17" t="str">
        <f t="shared" ca="1" si="20"/>
        <v/>
      </c>
      <c r="T77" s="17" t="str">
        <f t="shared" ca="1" si="21"/>
        <v/>
      </c>
    </row>
    <row r="78" spans="1:20" x14ac:dyDescent="0.35">
      <c r="A78" s="12" t="s">
        <v>307</v>
      </c>
      <c r="B78" s="12" t="s">
        <v>306</v>
      </c>
      <c r="C78" s="12" t="s">
        <v>250</v>
      </c>
      <c r="D78" s="13">
        <v>5559292078</v>
      </c>
      <c r="E78" s="13" t="s">
        <v>14</v>
      </c>
      <c r="F78" s="11" t="s">
        <v>392</v>
      </c>
      <c r="G78" s="11" t="s">
        <v>393</v>
      </c>
      <c r="H78" s="11" t="s">
        <v>373</v>
      </c>
      <c r="I78" s="14"/>
      <c r="J78" s="13">
        <v>6</v>
      </c>
      <c r="K78" s="15">
        <f t="shared" ca="1" si="15"/>
        <v>45997</v>
      </c>
      <c r="L78" s="16">
        <f t="shared" ca="1" si="16"/>
        <v>17</v>
      </c>
      <c r="M78" s="15">
        <f ca="1">IF(OR(B78="General - Recoradorio Exclusiones",B78="General - Recoradorio Exclusiones"),IF(WEEKDAY(K78,2)=6,(K78-VLOOKUP(B78,'-'!A:B,2,0)),IF(WEEKDAY(K78,2)=7,(K78-VLOOKUP(B78,'-'!A:B,2,0)),(K78-VLOOKUP(B78,'-'!A:B,2,0)))),IF(WEEKDAY(K78,2)=6,(K78-VLOOKUP(B78,'-'!A:B,2,0))-1,IF(WEEKDAY(K78,2)=7,(K78-VLOOKUP(B78,'-'!A:B,2,0))-2,(K78-VLOOKUP(B78,'-'!A:B,2,0)))))</f>
        <v>45996</v>
      </c>
      <c r="N78" s="16">
        <f t="shared" ca="1" si="17"/>
        <v>16</v>
      </c>
      <c r="O78" s="16" t="str">
        <f>""</f>
        <v/>
      </c>
      <c r="P78" s="16" t="str">
        <f t="shared" ca="1" si="18"/>
        <v/>
      </c>
      <c r="Q78" s="16" t="str">
        <f t="shared" ca="1" si="19"/>
        <v/>
      </c>
      <c r="R78" s="17" t="str">
        <f ca="1">IF(Q78="","",VLOOKUP(A78&amp;C78,'-'!D:E,2,0))</f>
        <v/>
      </c>
      <c r="S78" s="17" t="str">
        <f t="shared" ca="1" si="20"/>
        <v/>
      </c>
      <c r="T78" s="17" t="str">
        <f t="shared" ca="1" si="21"/>
        <v/>
      </c>
    </row>
    <row r="79" spans="1:20" x14ac:dyDescent="0.35">
      <c r="A79" s="12" t="s">
        <v>307</v>
      </c>
      <c r="B79" s="12" t="s">
        <v>306</v>
      </c>
      <c r="C79" s="12" t="s">
        <v>252</v>
      </c>
      <c r="D79" s="13">
        <v>814444528</v>
      </c>
      <c r="E79" s="13" t="s">
        <v>196</v>
      </c>
      <c r="F79" s="11" t="s">
        <v>292</v>
      </c>
      <c r="G79" s="11" t="s">
        <v>197</v>
      </c>
      <c r="H79" s="11" t="s">
        <v>190</v>
      </c>
      <c r="I79" s="14"/>
      <c r="J79" s="13">
        <v>7</v>
      </c>
      <c r="K79" s="15">
        <f t="shared" ca="1" si="15"/>
        <v>45998</v>
      </c>
      <c r="L79" s="16">
        <f t="shared" ca="1" si="16"/>
        <v>18</v>
      </c>
      <c r="M79" s="15">
        <f ca="1">IF(OR(B79="General - Recoradorio Exclusiones",B79="General - Recoradorio Exclusiones"),IF(WEEKDAY(K79,2)=6,(K79-VLOOKUP(B79,'-'!A:B,2,0)),IF(WEEKDAY(K79,2)=7,(K79-VLOOKUP(B79,'-'!A:B,2,0)),(K79-VLOOKUP(B79,'-'!A:B,2,0)))),IF(WEEKDAY(K79,2)=6,(K79-VLOOKUP(B79,'-'!A:B,2,0))-1,IF(WEEKDAY(K79,2)=7,(K79-VLOOKUP(B79,'-'!A:B,2,0))-2,(K79-VLOOKUP(B79,'-'!A:B,2,0)))))</f>
        <v>45996</v>
      </c>
      <c r="N79" s="16">
        <f t="shared" ca="1" si="17"/>
        <v>16</v>
      </c>
      <c r="O79" s="16" t="str">
        <f>""</f>
        <v/>
      </c>
      <c r="P79" s="16" t="str">
        <f t="shared" ca="1" si="18"/>
        <v/>
      </c>
      <c r="Q79" s="16" t="str">
        <f t="shared" ca="1" si="19"/>
        <v/>
      </c>
      <c r="R79" s="17" t="str">
        <f ca="1">IF(Q79="","",VLOOKUP(A79&amp;C79,'-'!D:E,2,0))</f>
        <v/>
      </c>
      <c r="S79" s="17" t="str">
        <f t="shared" ca="1" si="20"/>
        <v/>
      </c>
      <c r="T79" s="17" t="str">
        <f t="shared" ca="1" si="21"/>
        <v/>
      </c>
    </row>
    <row r="80" spans="1:20" x14ac:dyDescent="0.35">
      <c r="A80" s="12" t="s">
        <v>307</v>
      </c>
      <c r="B80" s="12" t="s">
        <v>306</v>
      </c>
      <c r="C80" s="12" t="s">
        <v>220</v>
      </c>
      <c r="D80" s="13">
        <v>814444529</v>
      </c>
      <c r="E80" s="13" t="s">
        <v>196</v>
      </c>
      <c r="F80" s="11" t="s">
        <v>270</v>
      </c>
      <c r="G80" s="11" t="s">
        <v>197</v>
      </c>
      <c r="H80" s="11" t="s">
        <v>190</v>
      </c>
      <c r="I80" s="14"/>
      <c r="J80" s="13">
        <v>7</v>
      </c>
      <c r="K80" s="15">
        <f t="shared" ca="1" si="15"/>
        <v>45998</v>
      </c>
      <c r="L80" s="16">
        <f t="shared" ca="1" si="16"/>
        <v>18</v>
      </c>
      <c r="M80" s="15">
        <f ca="1">IF(OR(B80="General - Recoradorio Exclusiones",B80="General - Recoradorio Exclusiones"),IF(WEEKDAY(K80,2)=6,(K80-VLOOKUP(B80,'-'!A:B,2,0)),IF(WEEKDAY(K80,2)=7,(K80-VLOOKUP(B80,'-'!A:B,2,0)),(K80-VLOOKUP(B80,'-'!A:B,2,0)))),IF(WEEKDAY(K80,2)=6,(K80-VLOOKUP(B80,'-'!A:B,2,0))-1,IF(WEEKDAY(K80,2)=7,(K80-VLOOKUP(B80,'-'!A:B,2,0))-2,(K80-VLOOKUP(B80,'-'!A:B,2,0)))))</f>
        <v>45996</v>
      </c>
      <c r="N80" s="16">
        <f t="shared" ca="1" si="17"/>
        <v>16</v>
      </c>
      <c r="O80" s="16" t="str">
        <f>""</f>
        <v/>
      </c>
      <c r="P80" s="16" t="str">
        <f t="shared" ca="1" si="18"/>
        <v/>
      </c>
      <c r="Q80" s="16" t="str">
        <f t="shared" ca="1" si="19"/>
        <v/>
      </c>
      <c r="R80" s="17" t="str">
        <f ca="1">IF(Q80="","",VLOOKUP(A80&amp;C80,'-'!D:E,2,0))</f>
        <v/>
      </c>
      <c r="S80" s="17" t="str">
        <f t="shared" ca="1" si="20"/>
        <v/>
      </c>
      <c r="T80" s="17" t="str">
        <f t="shared" ca="1" si="21"/>
        <v/>
      </c>
    </row>
    <row r="81" spans="1:20" x14ac:dyDescent="0.35">
      <c r="A81" s="12" t="s">
        <v>307</v>
      </c>
      <c r="B81" s="12" t="s">
        <v>306</v>
      </c>
      <c r="C81" s="12" t="s">
        <v>232</v>
      </c>
      <c r="D81" s="13">
        <v>814519878</v>
      </c>
      <c r="E81" s="13" t="s">
        <v>196</v>
      </c>
      <c r="F81" s="11" t="s">
        <v>276</v>
      </c>
      <c r="G81" s="11" t="s">
        <v>197</v>
      </c>
      <c r="H81" s="11" t="s">
        <v>190</v>
      </c>
      <c r="I81" s="14"/>
      <c r="J81" s="13">
        <v>7</v>
      </c>
      <c r="K81" s="15">
        <f t="shared" ca="1" si="15"/>
        <v>45998</v>
      </c>
      <c r="L81" s="16">
        <f t="shared" ca="1" si="16"/>
        <v>18</v>
      </c>
      <c r="M81" s="15">
        <f ca="1">IF(OR(B81="General - Recoradorio Exclusiones",B81="General - Recoradorio Exclusiones"),IF(WEEKDAY(K81,2)=6,(K81-VLOOKUP(B81,'-'!A:B,2,0)),IF(WEEKDAY(K81,2)=7,(K81-VLOOKUP(B81,'-'!A:B,2,0)),(K81-VLOOKUP(B81,'-'!A:B,2,0)))),IF(WEEKDAY(K81,2)=6,(K81-VLOOKUP(B81,'-'!A:B,2,0))-1,IF(WEEKDAY(K81,2)=7,(K81-VLOOKUP(B81,'-'!A:B,2,0))-2,(K81-VLOOKUP(B81,'-'!A:B,2,0)))))</f>
        <v>45996</v>
      </c>
      <c r="N81" s="16">
        <f t="shared" ca="1" si="17"/>
        <v>16</v>
      </c>
      <c r="O81" s="16" t="str">
        <f>""</f>
        <v/>
      </c>
      <c r="P81" s="16" t="str">
        <f t="shared" ca="1" si="18"/>
        <v/>
      </c>
      <c r="Q81" s="16" t="str">
        <f t="shared" ca="1" si="19"/>
        <v/>
      </c>
      <c r="R81" s="17" t="str">
        <f ca="1">IF(Q81="","",VLOOKUP(A81&amp;C81,'-'!D:E,2,0))</f>
        <v/>
      </c>
      <c r="S81" s="17" t="str">
        <f t="shared" ca="1" si="20"/>
        <v/>
      </c>
      <c r="T81" s="17" t="str">
        <f t="shared" ca="1" si="21"/>
        <v/>
      </c>
    </row>
    <row r="82" spans="1:20" x14ac:dyDescent="0.35">
      <c r="A82" s="12" t="s">
        <v>307</v>
      </c>
      <c r="B82" s="12" t="s">
        <v>306</v>
      </c>
      <c r="C82" s="12" t="s">
        <v>193</v>
      </c>
      <c r="D82" s="13">
        <v>5556942445</v>
      </c>
      <c r="E82" s="13" t="s">
        <v>14</v>
      </c>
      <c r="F82" s="11" t="s">
        <v>259</v>
      </c>
      <c r="G82" s="11" t="s">
        <v>195</v>
      </c>
      <c r="H82" s="11" t="s">
        <v>194</v>
      </c>
      <c r="I82" s="14"/>
      <c r="J82" s="13">
        <v>7</v>
      </c>
      <c r="K82" s="15">
        <f t="shared" ca="1" si="15"/>
        <v>45998</v>
      </c>
      <c r="L82" s="16">
        <f t="shared" ca="1" si="16"/>
        <v>18</v>
      </c>
      <c r="M82" s="15">
        <f ca="1">IF(OR(B82="General - Recoradorio Exclusiones",B82="General - Recoradorio Exclusiones"),IF(WEEKDAY(K82,2)=6,(K82-VLOOKUP(B82,'-'!A:B,2,0)),IF(WEEKDAY(K82,2)=7,(K82-VLOOKUP(B82,'-'!A:B,2,0)),(K82-VLOOKUP(B82,'-'!A:B,2,0)))),IF(WEEKDAY(K82,2)=6,(K82-VLOOKUP(B82,'-'!A:B,2,0))-1,IF(WEEKDAY(K82,2)=7,(K82-VLOOKUP(B82,'-'!A:B,2,0))-2,(K82-VLOOKUP(B82,'-'!A:B,2,0)))))</f>
        <v>45996</v>
      </c>
      <c r="N82" s="16">
        <f t="shared" ca="1" si="17"/>
        <v>16</v>
      </c>
      <c r="O82" s="16" t="str">
        <f>""</f>
        <v/>
      </c>
      <c r="P82" s="16" t="str">
        <f t="shared" ca="1" si="18"/>
        <v/>
      </c>
      <c r="Q82" s="16" t="str">
        <f t="shared" ca="1" si="19"/>
        <v/>
      </c>
      <c r="R82" s="17" t="str">
        <f ca="1">IF(Q82="","",VLOOKUP(A82&amp;C82,'-'!D:E,2,0))</f>
        <v/>
      </c>
      <c r="S82" s="17" t="str">
        <f t="shared" ca="1" si="20"/>
        <v/>
      </c>
      <c r="T82" s="17" t="str">
        <f t="shared" ca="1" si="21"/>
        <v/>
      </c>
    </row>
    <row r="83" spans="1:20" x14ac:dyDescent="0.35">
      <c r="A83" s="12" t="s">
        <v>383</v>
      </c>
      <c r="B83" s="12" t="s">
        <v>384</v>
      </c>
      <c r="C83" s="12" t="s">
        <v>250</v>
      </c>
      <c r="D83" s="12" t="s">
        <v>410</v>
      </c>
      <c r="E83" s="12" t="s">
        <v>250</v>
      </c>
      <c r="F83" s="11" t="s">
        <v>411</v>
      </c>
      <c r="J83" s="13">
        <v>7</v>
      </c>
      <c r="K83" s="15">
        <f t="shared" ca="1" si="15"/>
        <v>45998</v>
      </c>
      <c r="L83" s="16">
        <f t="shared" ca="1" si="16"/>
        <v>18</v>
      </c>
      <c r="M83" s="15">
        <f ca="1">IF(OR(B83="General - Recoradorio Exclusiones",B83="General - Recoradorio Exclusiones"),IF(WEEKDAY(K83,2)=6,(K83-VLOOKUP(B83,'-'!A:B,2,0)),IF(WEEKDAY(K83,2)=7,(K83-VLOOKUP(B83,'-'!A:B,2,0)),(K83-VLOOKUP(B83,'-'!A:B,2,0)))),IF(WEEKDAY(K83,2)=6,(K83-VLOOKUP(B83,'-'!A:B,2,0))-1,IF(WEEKDAY(K83,2)=7,(K83-VLOOKUP(B83,'-'!A:B,2,0))-2,(K83-VLOOKUP(B83,'-'!A:B,2,0)))))</f>
        <v>45996</v>
      </c>
      <c r="N83" s="16">
        <f t="shared" ca="1" si="17"/>
        <v>16</v>
      </c>
      <c r="O83" s="16" t="str">
        <f>""</f>
        <v/>
      </c>
      <c r="P83" s="16" t="str">
        <f t="shared" ca="1" si="18"/>
        <v/>
      </c>
      <c r="Q83" s="16" t="str">
        <f t="shared" ca="1" si="19"/>
        <v/>
      </c>
      <c r="R83" s="17" t="str">
        <f ca="1">IF(Q83="","",VLOOKUP(A83&amp;C83,'-'!D:E,2,0))</f>
        <v/>
      </c>
      <c r="S83" s="17" t="str">
        <f t="shared" ca="1" si="20"/>
        <v/>
      </c>
      <c r="T83" s="17" t="str">
        <f t="shared" ca="1" si="21"/>
        <v/>
      </c>
    </row>
    <row r="84" spans="1:20" x14ac:dyDescent="0.35">
      <c r="A84" s="12" t="s">
        <v>383</v>
      </c>
      <c r="B84" s="12" t="s">
        <v>441</v>
      </c>
      <c r="C84" s="12" t="s">
        <v>437</v>
      </c>
      <c r="D84" s="12" t="s">
        <v>454</v>
      </c>
      <c r="E84" s="12" t="s">
        <v>440</v>
      </c>
      <c r="F84" s="11" t="s">
        <v>449</v>
      </c>
      <c r="I84" s="14">
        <v>44936</v>
      </c>
      <c r="J84" s="13"/>
      <c r="K84" s="15">
        <f t="shared" ca="1" si="15"/>
        <v>44936</v>
      </c>
      <c r="L84" s="16">
        <f t="shared" ca="1" si="16"/>
        <v>-1044</v>
      </c>
      <c r="M84" s="15">
        <f ca="1">IF(OR(B84="General - Recoradorio Exclusiones",B84="General - Recoradorio Exclusiones"),IF(WEEKDAY(K84,2)=6,(K84-VLOOKUP(B84,'-'!A:B,2,0)),IF(WEEKDAY(K84,2)=7,(K84-VLOOKUP(B84,'-'!A:B,2,0)),(K84-VLOOKUP(B84,'-'!A:B,2,0)))),IF(WEEKDAY(K84,2)=6,(K84-VLOOKUP(B84,'-'!A:B,2,0))-1,IF(WEEKDAY(K84,2)=7,(K84-VLOOKUP(B84,'-'!A:B,2,0))-2,(K84-VLOOKUP(B84,'-'!A:B,2,0)))))</f>
        <v>44906</v>
      </c>
      <c r="N84" s="16">
        <f t="shared" ca="1" si="17"/>
        <v>0</v>
      </c>
      <c r="O84" s="16" t="str">
        <f>""</f>
        <v/>
      </c>
      <c r="P84" s="16" t="str">
        <f t="shared" ca="1" si="18"/>
        <v/>
      </c>
      <c r="Q84" s="16" t="str">
        <f t="shared" ca="1" si="19"/>
        <v>Notificar</v>
      </c>
      <c r="R84" s="17" t="str">
        <f ca="1">IF(Q84="","",VLOOKUP(A84&amp;C84,'-'!D:E,2,0))</f>
        <v>hnieto@u-storage.com.mx</v>
      </c>
      <c r="S84" s="17" t="str">
        <f t="shared" ca="1" si="20"/>
        <v>General - Pago30D</v>
      </c>
      <c r="T84" s="17" t="str">
        <f t="shared" ca="1" si="21"/>
        <v>Debe hacerse la renovacion de licencia 'Autocad' - [ Número: 712100036089 | Asignación: Michel Forat, Proyectos | Tipo de licencia: LT MAC | Precio 2022: $5,133.00] &lt;&lt;LICENCIA EXPIRA EN 30 DIAS (Enero 10) &gt;&gt;   [Pago AMEX]</v>
      </c>
    </row>
    <row r="85" spans="1:20" x14ac:dyDescent="0.35">
      <c r="A85" s="12" t="s">
        <v>383</v>
      </c>
      <c r="B85" s="12" t="s">
        <v>384</v>
      </c>
      <c r="C85" s="12" t="s">
        <v>1015</v>
      </c>
      <c r="D85" s="12" t="s">
        <v>1016</v>
      </c>
      <c r="E85" s="12" t="s">
        <v>250</v>
      </c>
      <c r="F85" s="11" t="s">
        <v>1018</v>
      </c>
      <c r="G85" s="11"/>
      <c r="H85" s="11"/>
      <c r="I85" s="14">
        <v>44920</v>
      </c>
      <c r="J85" s="13"/>
      <c r="K85" s="15">
        <f t="shared" ca="1" si="15"/>
        <v>44920</v>
      </c>
      <c r="L85" s="16">
        <f t="shared" ca="1" si="16"/>
        <v>-1060</v>
      </c>
      <c r="M85" s="15">
        <f ca="1">IF(OR(B85="General - Recoradorio Exclusiones",B85="General - Recoradorio Exclusiones"),IF(WEEKDAY(K85,2)=6,(K85-VLOOKUP(B85,'-'!A:B,2,0)),IF(WEEKDAY(K85,2)=7,(K85-VLOOKUP(B85,'-'!A:B,2,0)),(K85-VLOOKUP(B85,'-'!A:B,2,0)))),IF(WEEKDAY(K85,2)=6,(K85-VLOOKUP(B85,'-'!A:B,2,0))-1,IF(WEEKDAY(K85,2)=7,(K85-VLOOKUP(B85,'-'!A:B,2,0))-2,(K85-VLOOKUP(B85,'-'!A:B,2,0)))))</f>
        <v>44918</v>
      </c>
      <c r="N85" s="16">
        <f t="shared" ca="1" si="17"/>
        <v>0</v>
      </c>
      <c r="O85" s="16" t="str">
        <f>""</f>
        <v/>
      </c>
      <c r="P85" s="16" t="str">
        <f t="shared" ca="1" si="18"/>
        <v/>
      </c>
      <c r="Q85" s="16" t="str">
        <f t="shared" ca="1" si="19"/>
        <v>Notificar</v>
      </c>
      <c r="R85" s="17" t="str">
        <f ca="1">IF(Q85="","",VLOOKUP(A85&amp;C85,'-'!D:E,2,0))</f>
        <v>hnieto@u-storage.com.mx</v>
      </c>
      <c r="S85" s="17" t="str">
        <f t="shared" ca="1" si="20"/>
        <v>General - Recoradorio Interno</v>
      </c>
      <c r="T85" s="17" t="str">
        <f t="shared" ca="1" si="21"/>
        <v>Recordar: Solicitar a Edith Hernandez 'edhernandez@u-storage.com.mx' CSF todas Q4</v>
      </c>
    </row>
    <row r="86" spans="1:20" x14ac:dyDescent="0.35">
      <c r="A86" s="12" t="s">
        <v>631</v>
      </c>
      <c r="B86" s="12" t="s">
        <v>384</v>
      </c>
      <c r="C86" s="12" t="s">
        <v>632</v>
      </c>
      <c r="D86" s="12" t="s">
        <v>633</v>
      </c>
      <c r="E86" s="12" t="s">
        <v>250</v>
      </c>
      <c r="F86" s="11" t="s">
        <v>635</v>
      </c>
      <c r="G86" s="11"/>
      <c r="H86" s="11"/>
      <c r="I86" s="14">
        <v>44920</v>
      </c>
      <c r="J86" s="13"/>
      <c r="K86" s="15">
        <f t="shared" ca="1" si="15"/>
        <v>44920</v>
      </c>
      <c r="L86" s="16">
        <f t="shared" ca="1" si="16"/>
        <v>-1060</v>
      </c>
      <c r="M86" s="15">
        <f ca="1">IF(OR(B86="General - Recoradorio Exclusiones",B86="General - Recoradorio Exclusiones"),IF(WEEKDAY(K86,2)=6,(K86-VLOOKUP(B86,'-'!A:B,2,0)),IF(WEEKDAY(K86,2)=7,(K86-VLOOKUP(B86,'-'!A:B,2,0)),(K86-VLOOKUP(B86,'-'!A:B,2,0)))),IF(WEEKDAY(K86,2)=6,(K86-VLOOKUP(B86,'-'!A:B,2,0))-1,IF(WEEKDAY(K86,2)=7,(K86-VLOOKUP(B86,'-'!A:B,2,0))-2,(K86-VLOOKUP(B86,'-'!A:B,2,0)))))</f>
        <v>44918</v>
      </c>
      <c r="N86" s="16">
        <f t="shared" ca="1" si="17"/>
        <v>0</v>
      </c>
      <c r="O86" s="16" t="str">
        <f>""</f>
        <v/>
      </c>
      <c r="P86" s="16" t="str">
        <f t="shared" ca="1" si="18"/>
        <v/>
      </c>
      <c r="Q86" s="16" t="str">
        <f t="shared" ca="1" si="19"/>
        <v>Notificar</v>
      </c>
      <c r="R86" s="17" t="str">
        <f ca="1">IF(Q86="","",VLOOKUP(A86&amp;C86,'-'!D:E,2,0))</f>
        <v>hnieto@u-storage.com.mx</v>
      </c>
      <c r="S86" s="17" t="str">
        <f t="shared" ca="1" si="20"/>
        <v>General - Recoradorio Interno</v>
      </c>
      <c r="T86" s="17" t="str">
        <f t="shared" ca="1" si="21"/>
        <v>Recordar: Solicitar si existe aplicativo que se deje de pagar para el Q1</v>
      </c>
    </row>
    <row r="87" spans="1:20" x14ac:dyDescent="0.35">
      <c r="A87" s="12" t="s">
        <v>17</v>
      </c>
      <c r="B87" s="12" t="s">
        <v>309</v>
      </c>
      <c r="C87" s="12" t="s">
        <v>250</v>
      </c>
      <c r="D87" s="13" t="s">
        <v>27</v>
      </c>
      <c r="E87" s="13" t="s">
        <v>31</v>
      </c>
      <c r="F87" s="11" t="s">
        <v>28</v>
      </c>
      <c r="G87" s="11" t="s">
        <v>29</v>
      </c>
      <c r="H87" s="11" t="s">
        <v>30</v>
      </c>
      <c r="I87" s="14">
        <v>45015</v>
      </c>
      <c r="J87" s="13"/>
      <c r="K87" s="15">
        <f t="shared" ca="1" si="15"/>
        <v>45015</v>
      </c>
      <c r="L87" s="16">
        <f t="shared" ca="1" si="16"/>
        <v>-965</v>
      </c>
      <c r="M87" s="15">
        <f ca="1">IF(OR(B87="General - Recoradorio Exclusiones",B87="General - Recoradorio Exclusiones"),IF(WEEKDAY(K87,2)=6,(K87-VLOOKUP(B87,'-'!A:B,2,0)),IF(WEEKDAY(K87,2)=7,(K87-VLOOKUP(B87,'-'!A:B,2,0)),(K87-VLOOKUP(B87,'-'!A:B,2,0)))),IF(WEEKDAY(K87,2)=6,(K87-VLOOKUP(B87,'-'!A:B,2,0))-1,IF(WEEKDAY(K87,2)=7,(K87-VLOOKUP(B87,'-'!A:B,2,0))-2,(K87-VLOOKUP(B87,'-'!A:B,2,0)))))</f>
        <v>44986</v>
      </c>
      <c r="N87" s="16">
        <f t="shared" ca="1" si="17"/>
        <v>0</v>
      </c>
      <c r="O87" s="16" t="str">
        <f>""</f>
        <v/>
      </c>
      <c r="P87" s="16" t="str">
        <f t="shared" ca="1" si="18"/>
        <v/>
      </c>
      <c r="Q87" s="16" t="str">
        <f t="shared" ca="1" si="19"/>
        <v>Notificar</v>
      </c>
      <c r="R87" s="17" t="str">
        <f ca="1">IF(Q87="","",VLOOKUP(A87&amp;C87,'-'!D:E,2,0))</f>
        <v>mhernandez@u-storage.com.mx;hnieto@u-storage.com.mx</v>
      </c>
      <c r="S87" s="17" t="str">
        <f t="shared" ca="1" si="20"/>
        <v>Caducidad dominio | u-storage.com.mx</v>
      </c>
      <c r="T87" s="17" t="str">
        <f t="shared" ca="1" si="21"/>
        <v>Caducidad dominio
Telmex
u-storage.com.mx
Fin de caducidad: 30.03.2023
-965 Dias</v>
      </c>
    </row>
    <row r="88" spans="1:20" x14ac:dyDescent="0.35">
      <c r="A88" s="12" t="s">
        <v>383</v>
      </c>
      <c r="B88" s="12" t="s">
        <v>384</v>
      </c>
      <c r="C88" s="12" t="s">
        <v>1015</v>
      </c>
      <c r="D88" s="12" t="s">
        <v>1016</v>
      </c>
      <c r="E88" s="12" t="s">
        <v>250</v>
      </c>
      <c r="F88" s="11" t="s">
        <v>1019</v>
      </c>
      <c r="G88" s="11"/>
      <c r="H88" s="11"/>
      <c r="I88" s="14">
        <v>45010</v>
      </c>
      <c r="J88" s="13"/>
      <c r="K88" s="15">
        <f t="shared" ca="1" si="15"/>
        <v>45010</v>
      </c>
      <c r="L88" s="16">
        <f t="shared" ca="1" si="16"/>
        <v>-970</v>
      </c>
      <c r="M88" s="15">
        <f ca="1">IF(OR(B88="General - Recoradorio Exclusiones",B88="General - Recoradorio Exclusiones"),IF(WEEKDAY(K88,2)=6,(K88-VLOOKUP(B88,'-'!A:B,2,0)),IF(WEEKDAY(K88,2)=7,(K88-VLOOKUP(B88,'-'!A:B,2,0)),(K88-VLOOKUP(B88,'-'!A:B,2,0)))),IF(WEEKDAY(K88,2)=6,(K88-VLOOKUP(B88,'-'!A:B,2,0))-1,IF(WEEKDAY(K88,2)=7,(K88-VLOOKUP(B88,'-'!A:B,2,0))-2,(K88-VLOOKUP(B88,'-'!A:B,2,0)))))</f>
        <v>45009</v>
      </c>
      <c r="N88" s="16">
        <f t="shared" ca="1" si="17"/>
        <v>0</v>
      </c>
      <c r="O88" s="16" t="str">
        <f>""</f>
        <v/>
      </c>
      <c r="P88" s="16" t="str">
        <f t="shared" ca="1" si="18"/>
        <v/>
      </c>
      <c r="Q88" s="16" t="str">
        <f t="shared" ca="1" si="19"/>
        <v>Notificar</v>
      </c>
      <c r="R88" s="17" t="str">
        <f ca="1">IF(Q88="","",VLOOKUP(A88&amp;C88,'-'!D:E,2,0))</f>
        <v>hnieto@u-storage.com.mx</v>
      </c>
      <c r="S88" s="17" t="str">
        <f t="shared" ca="1" si="20"/>
        <v>General - Recoradorio Interno</v>
      </c>
      <c r="T88" s="17" t="str">
        <f t="shared" ca="1" si="21"/>
        <v>Recordar: Solicitar a Edith Hernandez 'edhernandez@u-storage.com.mx' CSF todas Q1</v>
      </c>
    </row>
    <row r="89" spans="1:20" x14ac:dyDescent="0.35">
      <c r="A89" s="12" t="s">
        <v>631</v>
      </c>
      <c r="B89" s="12" t="s">
        <v>384</v>
      </c>
      <c r="C89" s="12" t="s">
        <v>632</v>
      </c>
      <c r="D89" s="12" t="s">
        <v>633</v>
      </c>
      <c r="E89" s="12" t="s">
        <v>250</v>
      </c>
      <c r="F89" s="11" t="s">
        <v>636</v>
      </c>
      <c r="G89" s="11"/>
      <c r="H89" s="11"/>
      <c r="I89" s="14">
        <v>45010</v>
      </c>
      <c r="J89" s="13"/>
      <c r="K89" s="15">
        <f t="shared" ca="1" si="15"/>
        <v>45010</v>
      </c>
      <c r="L89" s="16">
        <f t="shared" ca="1" si="16"/>
        <v>-970</v>
      </c>
      <c r="M89" s="15">
        <f ca="1">IF(OR(B89="General - Recoradorio Exclusiones",B89="General - Recoradorio Exclusiones"),IF(WEEKDAY(K89,2)=6,(K89-VLOOKUP(B89,'-'!A:B,2,0)),IF(WEEKDAY(K89,2)=7,(K89-VLOOKUP(B89,'-'!A:B,2,0)),(K89-VLOOKUP(B89,'-'!A:B,2,0)))),IF(WEEKDAY(K89,2)=6,(K89-VLOOKUP(B89,'-'!A:B,2,0))-1,IF(WEEKDAY(K89,2)=7,(K89-VLOOKUP(B89,'-'!A:B,2,0))-2,(K89-VLOOKUP(B89,'-'!A:B,2,0)))))</f>
        <v>45009</v>
      </c>
      <c r="N89" s="16">
        <f t="shared" ca="1" si="17"/>
        <v>0</v>
      </c>
      <c r="O89" s="16" t="str">
        <f>""</f>
        <v/>
      </c>
      <c r="P89" s="16" t="str">
        <f t="shared" ca="1" si="18"/>
        <v/>
      </c>
      <c r="Q89" s="16" t="str">
        <f t="shared" ca="1" si="19"/>
        <v>Notificar</v>
      </c>
      <c r="R89" s="17" t="str">
        <f ca="1">IF(Q89="","",VLOOKUP(A89&amp;C89,'-'!D:E,2,0))</f>
        <v>hnieto@u-storage.com.mx</v>
      </c>
      <c r="S89" s="17" t="str">
        <f t="shared" ca="1" si="20"/>
        <v>General - Recoradorio Interno</v>
      </c>
      <c r="T89" s="17" t="str">
        <f t="shared" ca="1" si="21"/>
        <v>Recordar: Solicitar si existe aplicativo que se deje de pagar para el Q2</v>
      </c>
    </row>
    <row r="90" spans="1:20" x14ac:dyDescent="0.35">
      <c r="A90" s="12" t="s">
        <v>383</v>
      </c>
      <c r="B90" s="12" t="s">
        <v>441</v>
      </c>
      <c r="C90" s="12" t="s">
        <v>437</v>
      </c>
      <c r="D90" s="12" t="s">
        <v>454</v>
      </c>
      <c r="E90" s="12" t="s">
        <v>453</v>
      </c>
      <c r="F90" s="11" t="s">
        <v>456</v>
      </c>
      <c r="I90" s="14">
        <v>45045</v>
      </c>
      <c r="J90" s="13"/>
      <c r="K90" s="15">
        <f t="shared" ca="1" si="15"/>
        <v>45045</v>
      </c>
      <c r="L90" s="16">
        <f t="shared" ca="1" si="16"/>
        <v>-935</v>
      </c>
      <c r="M90" s="15">
        <f ca="1">IF(OR(B90="General - Recoradorio Exclusiones",B90="General - Recoradorio Exclusiones"),IF(WEEKDAY(K90,2)=6,(K90-VLOOKUP(B90,'-'!A:B,2,0)),IF(WEEKDAY(K90,2)=7,(K90-VLOOKUP(B90,'-'!A:B,2,0)),(K90-VLOOKUP(B90,'-'!A:B,2,0)))),IF(WEEKDAY(K90,2)=6,(K90-VLOOKUP(B90,'-'!A:B,2,0))-1,IF(WEEKDAY(K90,2)=7,(K90-VLOOKUP(B90,'-'!A:B,2,0))-2,(K90-VLOOKUP(B90,'-'!A:B,2,0)))))</f>
        <v>45014</v>
      </c>
      <c r="N90" s="16">
        <f t="shared" ca="1" si="17"/>
        <v>0</v>
      </c>
      <c r="O90" s="16" t="str">
        <f>""</f>
        <v/>
      </c>
      <c r="P90" s="16" t="str">
        <f t="shared" ca="1" si="18"/>
        <v/>
      </c>
      <c r="Q90" s="16" t="str">
        <f t="shared" ca="1" si="19"/>
        <v>Notificar</v>
      </c>
      <c r="R90" s="17" t="str">
        <f ca="1">IF(Q90="","",VLOOKUP(A90&amp;C90,'-'!D:E,2,0))</f>
        <v>hnieto@u-storage.com.mx</v>
      </c>
      <c r="S90" s="17" t="str">
        <f t="shared" ca="1" si="20"/>
        <v>General - Pago30D</v>
      </c>
      <c r="T90" s="17" t="str">
        <f t="shared" ca="1" si="21"/>
        <v>Debe hacerse la renovacion de licencia 'SketchUp' - [ Número: SKP-PRO-YR-WEB-01 | Asignación: Francisco Nava, Proyectos | Tipo de licencia: PRO | Precio 2022: 299 USD] &lt;&lt;LICENCIA EXPIRA EN 30 DIAS (Abril 29) &gt;&gt;   [Pago AMEX]</v>
      </c>
    </row>
    <row r="91" spans="1:20" x14ac:dyDescent="0.35">
      <c r="A91" s="12" t="s">
        <v>383</v>
      </c>
      <c r="B91" s="12" t="s">
        <v>441</v>
      </c>
      <c r="C91" s="12" t="s">
        <v>437</v>
      </c>
      <c r="D91" s="12" t="s">
        <v>454</v>
      </c>
      <c r="E91" s="12" t="s">
        <v>440</v>
      </c>
      <c r="F91" s="11" t="s">
        <v>448</v>
      </c>
      <c r="I91" s="14">
        <v>45047</v>
      </c>
      <c r="J91" s="13"/>
      <c r="K91" s="15">
        <f t="shared" ca="1" si="15"/>
        <v>45047</v>
      </c>
      <c r="L91" s="16">
        <f t="shared" ca="1" si="16"/>
        <v>-933</v>
      </c>
      <c r="M91" s="15">
        <f ca="1">IF(OR(B91="General - Recoradorio Exclusiones",B91="General - Recoradorio Exclusiones"),IF(WEEKDAY(K91,2)=6,(K91-VLOOKUP(B91,'-'!A:B,2,0)),IF(WEEKDAY(K91,2)=7,(K91-VLOOKUP(B91,'-'!A:B,2,0)),(K91-VLOOKUP(B91,'-'!A:B,2,0)))),IF(WEEKDAY(K91,2)=6,(K91-VLOOKUP(B91,'-'!A:B,2,0))-1,IF(WEEKDAY(K91,2)=7,(K91-VLOOKUP(B91,'-'!A:B,2,0))-2,(K91-VLOOKUP(B91,'-'!A:B,2,0)))))</f>
        <v>45017</v>
      </c>
      <c r="N91" s="16">
        <f t="shared" ca="1" si="17"/>
        <v>0</v>
      </c>
      <c r="O91" s="16" t="str">
        <f>""</f>
        <v/>
      </c>
      <c r="P91" s="16" t="str">
        <f t="shared" ca="1" si="18"/>
        <v/>
      </c>
      <c r="Q91" s="16" t="str">
        <f t="shared" ca="1" si="19"/>
        <v>Notificar</v>
      </c>
      <c r="R91" s="17" t="str">
        <f ca="1">IF(Q91="","",VLOOKUP(A91&amp;C91,'-'!D:E,2,0))</f>
        <v>hnieto@u-storage.com.mx</v>
      </c>
      <c r="S91" s="17" t="str">
        <f t="shared" ca="1" si="20"/>
        <v>General - Pago30D</v>
      </c>
      <c r="T91" s="17" t="str">
        <f t="shared" ca="1" si="21"/>
        <v>Debe hacerse la renovacion de licencia 'Autocad' - [ Número: 712100040974 | Asignación: Jaime Merlo , Proyectos | Tipo de licencia: LT | Precio 2022: $5,133.00] &lt;&lt;LICENCIA EXPIRA EN 30 DIAS (Mayo 01) &gt;&gt;   [Pago AMEX]</v>
      </c>
    </row>
    <row r="92" spans="1:20" x14ac:dyDescent="0.35">
      <c r="A92" s="12" t="s">
        <v>383</v>
      </c>
      <c r="B92" s="12" t="s">
        <v>441</v>
      </c>
      <c r="C92" s="12" t="s">
        <v>437</v>
      </c>
      <c r="D92" s="12" t="s">
        <v>454</v>
      </c>
      <c r="E92" s="12" t="s">
        <v>440</v>
      </c>
      <c r="F92" s="11" t="s">
        <v>446</v>
      </c>
      <c r="I92" s="14">
        <v>45053</v>
      </c>
      <c r="J92" s="13"/>
      <c r="K92" s="15">
        <f t="shared" ca="1" si="15"/>
        <v>45053</v>
      </c>
      <c r="L92" s="16">
        <f t="shared" ca="1" si="16"/>
        <v>-927</v>
      </c>
      <c r="M92" s="15">
        <f ca="1">IF(OR(B92="General - Recoradorio Exclusiones",B92="General - Recoradorio Exclusiones"),IF(WEEKDAY(K92,2)=6,(K92-VLOOKUP(B92,'-'!A:B,2,0)),IF(WEEKDAY(K92,2)=7,(K92-VLOOKUP(B92,'-'!A:B,2,0)),(K92-VLOOKUP(B92,'-'!A:B,2,0)))),IF(WEEKDAY(K92,2)=6,(K92-VLOOKUP(B92,'-'!A:B,2,0))-1,IF(WEEKDAY(K92,2)=7,(K92-VLOOKUP(B92,'-'!A:B,2,0))-2,(K92-VLOOKUP(B92,'-'!A:B,2,0)))))</f>
        <v>45021</v>
      </c>
      <c r="N92" s="16">
        <f t="shared" ca="1" si="17"/>
        <v>0</v>
      </c>
      <c r="O92" s="16" t="str">
        <f>""</f>
        <v/>
      </c>
      <c r="P92" s="16" t="str">
        <f t="shared" ca="1" si="18"/>
        <v/>
      </c>
      <c r="Q92" s="16" t="str">
        <f t="shared" ca="1" si="19"/>
        <v>Notificar</v>
      </c>
      <c r="R92" s="17" t="str">
        <f ca="1">IF(Q92="","",VLOOKUP(A92&amp;C92,'-'!D:E,2,0))</f>
        <v>hnieto@u-storage.com.mx</v>
      </c>
      <c r="S92" s="17" t="str">
        <f t="shared" ca="1" si="20"/>
        <v>General - Pago30D</v>
      </c>
      <c r="T92" s="17" t="str">
        <f t="shared" ca="1" si="21"/>
        <v>Debe hacerse la renovacion de licencia 'Autocad' - [ Número: 110002172344 | Asignación: Eduardo Cervantes, Proyectos | Tipo de licencia: LT | Precio 2022: $5,133.00] &lt;&lt;LICENCIA EXPIRA EN 30 DIAS (Mayo 07) &gt;&gt;   [Pago AMEX]</v>
      </c>
    </row>
    <row r="93" spans="1:20" x14ac:dyDescent="0.35">
      <c r="A93" s="12" t="s">
        <v>383</v>
      </c>
      <c r="B93" s="12" t="s">
        <v>442</v>
      </c>
      <c r="C93" s="12" t="s">
        <v>437</v>
      </c>
      <c r="D93" s="12" t="s">
        <v>454</v>
      </c>
      <c r="E93" s="12" t="s">
        <v>455</v>
      </c>
      <c r="F93" s="11" t="s">
        <v>457</v>
      </c>
      <c r="I93" s="25">
        <v>45026</v>
      </c>
      <c r="J93" s="13"/>
      <c r="K93" s="15">
        <f t="shared" ca="1" si="15"/>
        <v>45026</v>
      </c>
      <c r="L93" s="16">
        <f t="shared" ca="1" si="16"/>
        <v>-954</v>
      </c>
      <c r="M93" s="15">
        <f ca="1">IF(OR(B93="General - Recoradorio Exclusiones",B93="General - Recoradorio Exclusiones"),IF(WEEKDAY(K93,2)=6,(K93-VLOOKUP(B93,'-'!A:B,2,0)),IF(WEEKDAY(K93,2)=7,(K93-VLOOKUP(B93,'-'!A:B,2,0)),(K93-VLOOKUP(B93,'-'!A:B,2,0)))),IF(WEEKDAY(K93,2)=6,(K93-VLOOKUP(B93,'-'!A:B,2,0))-1,IF(WEEKDAY(K93,2)=7,(K93-VLOOKUP(B93,'-'!A:B,2,0))-2,(K93-VLOOKUP(B93,'-'!A:B,2,0)))))</f>
        <v>45022</v>
      </c>
      <c r="N93" s="16">
        <f t="shared" ca="1" si="17"/>
        <v>0</v>
      </c>
      <c r="O93" s="16" t="str">
        <f>""</f>
        <v/>
      </c>
      <c r="P93" s="16" t="str">
        <f t="shared" ca="1" si="18"/>
        <v/>
      </c>
      <c r="Q93" s="16" t="str">
        <f t="shared" ca="1" si="19"/>
        <v>Notificar</v>
      </c>
      <c r="R93" s="17" t="str">
        <f ca="1">IF(Q93="","",VLOOKUP(A93&amp;C93,'-'!D:E,2,0))</f>
        <v>hnieto@u-storage.com.mx</v>
      </c>
      <c r="S93" s="17" t="str">
        <f t="shared" ca="1" si="20"/>
        <v>General - PagoInmediato</v>
      </c>
      <c r="T93" s="17" t="str">
        <f t="shared" ca="1" si="21"/>
        <v>Debe hacerse la gestión de pago del servicio 'Photoshop|Illustrator|Acrobat Pro DC' ($85,662.92 MXN). [Pago AMEX] - Pago en 5días</v>
      </c>
    </row>
    <row r="94" spans="1:20" x14ac:dyDescent="0.35">
      <c r="A94" s="12" t="s">
        <v>17</v>
      </c>
      <c r="B94" s="12" t="s">
        <v>309</v>
      </c>
      <c r="C94" s="12" t="s">
        <v>250</v>
      </c>
      <c r="D94" s="13" t="s">
        <v>44</v>
      </c>
      <c r="E94" s="13" t="s">
        <v>31</v>
      </c>
      <c r="F94" s="11" t="s">
        <v>45</v>
      </c>
      <c r="G94" s="11" t="s">
        <v>46</v>
      </c>
      <c r="H94" s="11" t="s">
        <v>47</v>
      </c>
      <c r="I94" s="14">
        <v>45068</v>
      </c>
      <c r="J94" s="13"/>
      <c r="K94" s="15">
        <f t="shared" ca="1" si="15"/>
        <v>45068</v>
      </c>
      <c r="L94" s="16">
        <f t="shared" ca="1" si="16"/>
        <v>-912</v>
      </c>
      <c r="M94" s="15">
        <f ca="1">IF(OR(B94="General - Recoradorio Exclusiones",B94="General - Recoradorio Exclusiones"),IF(WEEKDAY(K94,2)=6,(K94-VLOOKUP(B94,'-'!A:B,2,0)),IF(WEEKDAY(K94,2)=7,(K94-VLOOKUP(B94,'-'!A:B,2,0)),(K94-VLOOKUP(B94,'-'!A:B,2,0)))),IF(WEEKDAY(K94,2)=6,(K94-VLOOKUP(B94,'-'!A:B,2,0))-1,IF(WEEKDAY(K94,2)=7,(K94-VLOOKUP(B94,'-'!A:B,2,0))-2,(K94-VLOOKUP(B94,'-'!A:B,2,0)))))</f>
        <v>45039</v>
      </c>
      <c r="N94" s="16">
        <f t="shared" ca="1" si="17"/>
        <v>0</v>
      </c>
      <c r="O94" s="16" t="str">
        <f>""</f>
        <v/>
      </c>
      <c r="P94" s="16" t="str">
        <f t="shared" ca="1" si="18"/>
        <v/>
      </c>
      <c r="Q94" s="16" t="str">
        <f t="shared" ca="1" si="19"/>
        <v>Notificar</v>
      </c>
      <c r="R94" s="17" t="str">
        <f ca="1">IF(Q94="","",VLOOKUP(A94&amp;C94,'-'!D:E,2,0))</f>
        <v>mhernandez@u-storage.com.mx;hnieto@u-storage.com.mx</v>
      </c>
      <c r="S94" s="17" t="str">
        <f t="shared" ca="1" si="20"/>
        <v>Caducidad dominio | selfstoragedevelopment.com.mx</v>
      </c>
      <c r="T94" s="17" t="str">
        <f t="shared" ca="1" si="21"/>
        <v>Caducidad dominio
Telmex
selfstoragedevelopment.com.mx
Fin de caducidad: 22.05.2023
-912 Dias</v>
      </c>
    </row>
    <row r="95" spans="1:20" x14ac:dyDescent="0.35">
      <c r="A95" s="12" t="s">
        <v>17</v>
      </c>
      <c r="B95" s="12" t="s">
        <v>309</v>
      </c>
      <c r="C95" s="12" t="s">
        <v>250</v>
      </c>
      <c r="D95" s="13" t="s">
        <v>130</v>
      </c>
      <c r="E95" s="13" t="s">
        <v>22</v>
      </c>
      <c r="F95" s="11" t="s">
        <v>131</v>
      </c>
      <c r="G95" s="11" t="s">
        <v>132</v>
      </c>
      <c r="H95" s="11"/>
      <c r="I95" s="14">
        <v>45084</v>
      </c>
      <c r="J95" s="13"/>
      <c r="K95" s="15">
        <f t="shared" ca="1" si="15"/>
        <v>45084</v>
      </c>
      <c r="L95" s="16">
        <f t="shared" ca="1" si="16"/>
        <v>-896</v>
      </c>
      <c r="M95" s="15">
        <f ca="1">IF(OR(B95="General - Recoradorio Exclusiones",B95="General - Recoradorio Exclusiones"),IF(WEEKDAY(K95,2)=6,(K95-VLOOKUP(B95,'-'!A:B,2,0)),IF(WEEKDAY(K95,2)=7,(K95-VLOOKUP(B95,'-'!A:B,2,0)),(K95-VLOOKUP(B95,'-'!A:B,2,0)))),IF(WEEKDAY(K95,2)=6,(K95-VLOOKUP(B95,'-'!A:B,2,0))-1,IF(WEEKDAY(K95,2)=7,(K95-VLOOKUP(B95,'-'!A:B,2,0))-2,(K95-VLOOKUP(B95,'-'!A:B,2,0)))))</f>
        <v>45055</v>
      </c>
      <c r="N95" s="16">
        <f t="shared" ca="1" si="17"/>
        <v>0</v>
      </c>
      <c r="O95" s="16" t="str">
        <f>""</f>
        <v/>
      </c>
      <c r="P95" s="16" t="str">
        <f t="shared" ca="1" si="18"/>
        <v/>
      </c>
      <c r="Q95" s="16" t="str">
        <f t="shared" ca="1" si="19"/>
        <v>Notificar</v>
      </c>
      <c r="R95" s="17" t="str">
        <f ca="1">IF(Q95="","",VLOOKUP(A95&amp;C95,'-'!D:E,2,0))</f>
        <v>mhernandez@u-storage.com.mx;hnieto@u-storage.com.mx</v>
      </c>
      <c r="S95" s="17" t="str">
        <f t="shared" ca="1" si="20"/>
        <v>Caducidad dominio | fibrastorage.com</v>
      </c>
      <c r="T95" s="17" t="str">
        <f t="shared" ca="1" si="21"/>
        <v>Caducidad dominio
Akky
fibrastorage.com
Fin de caducidad: 07.06.2023
-896 Dias</v>
      </c>
    </row>
    <row r="96" spans="1:20" x14ac:dyDescent="0.35">
      <c r="A96" s="12" t="s">
        <v>17</v>
      </c>
      <c r="B96" s="12" t="s">
        <v>309</v>
      </c>
      <c r="C96" s="12" t="s">
        <v>250</v>
      </c>
      <c r="D96" s="13" t="s">
        <v>133</v>
      </c>
      <c r="E96" s="13" t="s">
        <v>22</v>
      </c>
      <c r="F96" s="11" t="s">
        <v>134</v>
      </c>
      <c r="G96" s="11" t="s">
        <v>135</v>
      </c>
      <c r="H96" s="11"/>
      <c r="I96" s="14">
        <v>45084</v>
      </c>
      <c r="J96" s="13"/>
      <c r="K96" s="15">
        <f t="shared" ca="1" si="15"/>
        <v>45084</v>
      </c>
      <c r="L96" s="16">
        <f t="shared" ca="1" si="16"/>
        <v>-896</v>
      </c>
      <c r="M96" s="15">
        <f ca="1">IF(OR(B96="General - Recoradorio Exclusiones",B96="General - Recoradorio Exclusiones"),IF(WEEKDAY(K96,2)=6,(K96-VLOOKUP(B96,'-'!A:B,2,0)),IF(WEEKDAY(K96,2)=7,(K96-VLOOKUP(B96,'-'!A:B,2,0)),(K96-VLOOKUP(B96,'-'!A:B,2,0)))),IF(WEEKDAY(K96,2)=6,(K96-VLOOKUP(B96,'-'!A:B,2,0))-1,IF(WEEKDAY(K96,2)=7,(K96-VLOOKUP(B96,'-'!A:B,2,0))-2,(K96-VLOOKUP(B96,'-'!A:B,2,0)))))</f>
        <v>45055</v>
      </c>
      <c r="N96" s="16">
        <f t="shared" ca="1" si="17"/>
        <v>0</v>
      </c>
      <c r="O96" s="16" t="str">
        <f>""</f>
        <v/>
      </c>
      <c r="P96" s="16" t="str">
        <f t="shared" ca="1" si="18"/>
        <v/>
      </c>
      <c r="Q96" s="16" t="str">
        <f t="shared" ca="1" si="19"/>
        <v>Notificar</v>
      </c>
      <c r="R96" s="17" t="str">
        <f ca="1">IF(Q96="","",VLOOKUP(A96&amp;C96,'-'!D:E,2,0))</f>
        <v>mhernandez@u-storage.com.mx;hnieto@u-storage.com.mx</v>
      </c>
      <c r="S96" s="17" t="str">
        <f t="shared" ca="1" si="20"/>
        <v>Caducidad dominio | fibrastorage.com.mx</v>
      </c>
      <c r="T96" s="17" t="str">
        <f t="shared" ca="1" si="21"/>
        <v>Caducidad dominio
Akky
fibrastorage.com.mx
Fin de caducidad: 07.06.2023
-896 Dias</v>
      </c>
    </row>
    <row r="97" spans="1:20" x14ac:dyDescent="0.35">
      <c r="A97" s="12" t="s">
        <v>17</v>
      </c>
      <c r="B97" s="12" t="s">
        <v>309</v>
      </c>
      <c r="C97" s="12" t="s">
        <v>250</v>
      </c>
      <c r="D97" s="13" t="s">
        <v>136</v>
      </c>
      <c r="E97" s="13" t="s">
        <v>22</v>
      </c>
      <c r="F97" s="11" t="s">
        <v>137</v>
      </c>
      <c r="G97" s="11" t="s">
        <v>138</v>
      </c>
      <c r="H97" s="11"/>
      <c r="I97" s="14">
        <v>45084</v>
      </c>
      <c r="J97" s="13"/>
      <c r="K97" s="15">
        <f t="shared" ca="1" si="15"/>
        <v>45084</v>
      </c>
      <c r="L97" s="16">
        <f t="shared" ca="1" si="16"/>
        <v>-896</v>
      </c>
      <c r="M97" s="15">
        <f ca="1">IF(OR(B97="General - Recoradorio Exclusiones",B97="General - Recoradorio Exclusiones"),IF(WEEKDAY(K97,2)=6,(K97-VLOOKUP(B97,'-'!A:B,2,0)),IF(WEEKDAY(K97,2)=7,(K97-VLOOKUP(B97,'-'!A:B,2,0)),(K97-VLOOKUP(B97,'-'!A:B,2,0)))),IF(WEEKDAY(K97,2)=6,(K97-VLOOKUP(B97,'-'!A:B,2,0))-1,IF(WEEKDAY(K97,2)=7,(K97-VLOOKUP(B97,'-'!A:B,2,0))-2,(K97-VLOOKUP(B97,'-'!A:B,2,0)))))</f>
        <v>45055</v>
      </c>
      <c r="N97" s="16">
        <f t="shared" ca="1" si="17"/>
        <v>0</v>
      </c>
      <c r="O97" s="16" t="str">
        <f>""</f>
        <v/>
      </c>
      <c r="P97" s="16" t="str">
        <f t="shared" ca="1" si="18"/>
        <v/>
      </c>
      <c r="Q97" s="16" t="str">
        <f t="shared" ca="1" si="19"/>
        <v>Notificar</v>
      </c>
      <c r="R97" s="17" t="str">
        <f ca="1">IF(Q97="","",VLOOKUP(A97&amp;C97,'-'!D:E,2,0))</f>
        <v>mhernandez@u-storage.com.mx;hnieto@u-storage.com.mx</v>
      </c>
      <c r="S97" s="17" t="str">
        <f t="shared" ca="1" si="20"/>
        <v>Caducidad dominio | fibrastorage.mx</v>
      </c>
      <c r="T97" s="17" t="str">
        <f t="shared" ca="1" si="21"/>
        <v>Caducidad dominio
Akky
fibrastorage.mx
Fin de caducidad: 07.06.2023
-896 Dias</v>
      </c>
    </row>
    <row r="98" spans="1:20" x14ac:dyDescent="0.35">
      <c r="A98" s="12" t="s">
        <v>17</v>
      </c>
      <c r="B98" s="12" t="s">
        <v>309</v>
      </c>
      <c r="C98" s="12" t="s">
        <v>250</v>
      </c>
      <c r="D98" s="13" t="s">
        <v>173</v>
      </c>
      <c r="E98" s="13" t="s">
        <v>22</v>
      </c>
      <c r="F98" s="11" t="s">
        <v>174</v>
      </c>
      <c r="G98" s="11" t="s">
        <v>175</v>
      </c>
      <c r="H98" s="11" t="s">
        <v>176</v>
      </c>
      <c r="I98" s="14">
        <v>45087</v>
      </c>
      <c r="J98" s="13"/>
      <c r="K98" s="15">
        <f t="shared" ref="K98:K129" ca="1" si="22">IF(I98="",IF(TODAY()&lt;=(DATE(YEAR(TODAY()),MONTH(TODAY()),J98)),DATE(YEAR(TODAY()),MONTH(TODAY()),J98),DATE(YEAR(TODAY()),MONTH(TODAY())+1,J98)),I98)</f>
        <v>45087</v>
      </c>
      <c r="L98" s="16">
        <f t="shared" ref="L98:L129" ca="1" si="23">(K98-TODAY())</f>
        <v>-893</v>
      </c>
      <c r="M98" s="15">
        <f ca="1">IF(OR(B98="General - Recoradorio Exclusiones",B98="General - Recoradorio Exclusiones"),IF(WEEKDAY(K98,2)=6,(K98-VLOOKUP(B98,'-'!A:B,2,0)),IF(WEEKDAY(K98,2)=7,(K98-VLOOKUP(B98,'-'!A:B,2,0)),(K98-VLOOKUP(B98,'-'!A:B,2,0)))),IF(WEEKDAY(K98,2)=6,(K98-VLOOKUP(B98,'-'!A:B,2,0))-1,IF(WEEKDAY(K98,2)=7,(K98-VLOOKUP(B98,'-'!A:B,2,0))-2,(K98-VLOOKUP(B98,'-'!A:B,2,0)))))</f>
        <v>45057</v>
      </c>
      <c r="N98" s="16">
        <f t="shared" ref="N98:N129" ca="1" si="24">MAX(0,M98-TODAY())</f>
        <v>0</v>
      </c>
      <c r="O98" s="16" t="str">
        <f>""</f>
        <v/>
      </c>
      <c r="P98" s="16" t="str">
        <f t="shared" ref="P98:P129" ca="1" si="25">IF(AND(N98&lt;&gt;0,O98="X"),"Reiniciar","")</f>
        <v/>
      </c>
      <c r="Q98" s="16" t="str">
        <f t="shared" ref="Q98:Q134" ca="1" si="26">IF(N98=0,IF(O98="","Notificar",""),"")</f>
        <v>Notificar</v>
      </c>
      <c r="R98" s="17" t="str">
        <f ca="1">IF(Q98="","",VLOOKUP(A98&amp;C98,'-'!D:E,2,0))</f>
        <v>mhernandez@u-storage.com.mx;hnieto@u-storage.com.mx</v>
      </c>
      <c r="S98" s="17" t="str">
        <f t="shared" ref="S98:S129" ca="1" si="27">IF(R98="","",IF(ISERROR(SEARCH("General",B98)),IF(ISERROR(SEARCH("caducidad",B98)),B98&amp;" telecomunicaciones | "&amp;C98,B98&amp;" | "&amp;D98),B98))</f>
        <v>Caducidad dominio | minibodegas.net</v>
      </c>
      <c r="T98" s="17" t="str">
        <f t="shared" ref="T98:T134" ca="1" si="28">IF(Q98="","",IF(ISERROR(SEARCH("General",B98)),IF(ISERROR(SEARCH("caducidad",B98)),B98&amp;" telecomunicaciones: "&amp;C98&amp;CHAR(10)&amp;E98&amp;": "&amp;D98&amp;CHAR(10)&amp;G98&amp;CHAR(10)&amp;"Fecha de pago: "&amp;IF(DAY(K98)&lt;10,"0"&amp;DAY(K98),DAY(K98))&amp;"."&amp;IF(MONTH(K98)&lt;10,"0"&amp;MONTH(K98),MONTH(K98))&amp;"."&amp;YEAR(K98)&amp;CHAR(10)&amp;CHAR(10)&amp;IF(E98="totalplay","Por favor, de ser posible busquemos la descarga directa de la plataforma del proveedor, recordemos que al pagar a tiempo se mejora el precio de factura.","Por favor, de ser posible busquemos la descarga directa de la plataforma del proveedor, evitemos recortes o perdida de servicio."),B98&amp;CHAR(10)&amp;E98&amp;CHAR(10)&amp;D98&amp;CHAR(10)&amp;"Fin de caducidad: "&amp;IF(DAY(K98)&lt;10,"0"&amp;DAY(K98),DAY(K98))&amp;"."&amp;IF(MONTH(K98)&lt;10,"0"&amp;MONTH(K98),MONTH(K98))&amp;"."&amp;YEAR(K98)&amp;CHAR(10)&amp;L98&amp;" Dias"),F98))</f>
        <v>Caducidad dominio
Akky
minibodegas.net
Fin de caducidad: 10.06.2023
-893 Dias</v>
      </c>
    </row>
    <row r="99" spans="1:20" x14ac:dyDescent="0.35">
      <c r="A99" s="12" t="s">
        <v>17</v>
      </c>
      <c r="B99" s="12" t="s">
        <v>309</v>
      </c>
      <c r="C99" s="12" t="s">
        <v>250</v>
      </c>
      <c r="D99" s="13" t="s">
        <v>139</v>
      </c>
      <c r="E99" s="13" t="s">
        <v>22</v>
      </c>
      <c r="F99" s="11" t="s">
        <v>140</v>
      </c>
      <c r="G99" s="11" t="s">
        <v>141</v>
      </c>
      <c r="H99" s="11" t="s">
        <v>142</v>
      </c>
      <c r="I99" s="14">
        <v>45087</v>
      </c>
      <c r="J99" s="13"/>
      <c r="K99" s="15">
        <f t="shared" ca="1" si="22"/>
        <v>45087</v>
      </c>
      <c r="L99" s="16">
        <f t="shared" ca="1" si="23"/>
        <v>-893</v>
      </c>
      <c r="M99" s="15">
        <f ca="1">IF(OR(B99="General - Recoradorio Exclusiones",B99="General - Recoradorio Exclusiones"),IF(WEEKDAY(K99,2)=6,(K99-VLOOKUP(B99,'-'!A:B,2,0)),IF(WEEKDAY(K99,2)=7,(K99-VLOOKUP(B99,'-'!A:B,2,0)),(K99-VLOOKUP(B99,'-'!A:B,2,0)))),IF(WEEKDAY(K99,2)=6,(K99-VLOOKUP(B99,'-'!A:B,2,0))-1,IF(WEEKDAY(K99,2)=7,(K99-VLOOKUP(B99,'-'!A:B,2,0))-2,(K99-VLOOKUP(B99,'-'!A:B,2,0)))))</f>
        <v>45057</v>
      </c>
      <c r="N99" s="16">
        <f t="shared" ca="1" si="24"/>
        <v>0</v>
      </c>
      <c r="O99" s="16" t="str">
        <f>""</f>
        <v/>
      </c>
      <c r="P99" s="16" t="str">
        <f t="shared" ca="1" si="25"/>
        <v/>
      </c>
      <c r="Q99" s="16" t="str">
        <f t="shared" ca="1" si="26"/>
        <v>Notificar</v>
      </c>
      <c r="R99" s="17" t="str">
        <f ca="1">IF(Q99="","",VLOOKUP(A99&amp;C99,'-'!D:E,2,0))</f>
        <v>mhernandez@u-storage.com.mx;hnieto@u-storage.com.mx</v>
      </c>
      <c r="S99" s="17" t="str">
        <f t="shared" ca="1" si="27"/>
        <v>Caducidad dominio | minibodegas.lat</v>
      </c>
      <c r="T99" s="17" t="str">
        <f t="shared" ca="1" si="28"/>
        <v>Caducidad dominio
Akky
minibodegas.lat
Fin de caducidad: 10.06.2023
-893 Dias</v>
      </c>
    </row>
    <row r="100" spans="1:20" x14ac:dyDescent="0.35">
      <c r="A100" s="12" t="s">
        <v>17</v>
      </c>
      <c r="B100" s="12" t="s">
        <v>309</v>
      </c>
      <c r="C100" s="12" t="s">
        <v>250</v>
      </c>
      <c r="D100" s="13" t="s">
        <v>48</v>
      </c>
      <c r="E100" s="13" t="s">
        <v>31</v>
      </c>
      <c r="F100" s="11" t="s">
        <v>49</v>
      </c>
      <c r="G100" s="11" t="s">
        <v>50</v>
      </c>
      <c r="H100" s="11" t="s">
        <v>51</v>
      </c>
      <c r="I100" s="14">
        <v>45092</v>
      </c>
      <c r="J100" s="13"/>
      <c r="K100" s="15">
        <f t="shared" ca="1" si="22"/>
        <v>45092</v>
      </c>
      <c r="L100" s="16">
        <f t="shared" ca="1" si="23"/>
        <v>-888</v>
      </c>
      <c r="M100" s="15">
        <f ca="1">IF(OR(B100="General - Recoradorio Exclusiones",B100="General - Recoradorio Exclusiones"),IF(WEEKDAY(K100,2)=6,(K100-VLOOKUP(B100,'-'!A:B,2,0)),IF(WEEKDAY(K100,2)=7,(K100-VLOOKUP(B100,'-'!A:B,2,0)),(K100-VLOOKUP(B100,'-'!A:B,2,0)))),IF(WEEKDAY(K100,2)=6,(K100-VLOOKUP(B100,'-'!A:B,2,0))-1,IF(WEEKDAY(K100,2)=7,(K100-VLOOKUP(B100,'-'!A:B,2,0))-2,(K100-VLOOKUP(B100,'-'!A:B,2,0)))))</f>
        <v>45063</v>
      </c>
      <c r="N100" s="16">
        <f t="shared" ca="1" si="24"/>
        <v>0</v>
      </c>
      <c r="O100" s="16" t="str">
        <f>""</f>
        <v/>
      </c>
      <c r="P100" s="16" t="str">
        <f t="shared" ca="1" si="25"/>
        <v/>
      </c>
      <c r="Q100" s="16" t="str">
        <f t="shared" ca="1" si="26"/>
        <v>Notificar</v>
      </c>
      <c r="R100" s="17" t="str">
        <f ca="1">IF(Q100="","",VLOOKUP(A100&amp;C100,'-'!D:E,2,0))</f>
        <v>mhernandez@u-storage.com.mx;hnieto@u-storage.com.mx</v>
      </c>
      <c r="S100" s="17" t="str">
        <f t="shared" ca="1" si="27"/>
        <v>Caducidad dominio | dossoles.com.mx</v>
      </c>
      <c r="T100" s="17" t="str">
        <f t="shared" ca="1" si="28"/>
        <v>Caducidad dominio
Telmex
dossoles.com.mx
Fin de caducidad: 15.06.2023
-888 Dias</v>
      </c>
    </row>
    <row r="101" spans="1:20" x14ac:dyDescent="0.35">
      <c r="A101" s="12" t="s">
        <v>17</v>
      </c>
      <c r="B101" s="12" t="s">
        <v>309</v>
      </c>
      <c r="C101" s="12" t="s">
        <v>250</v>
      </c>
      <c r="D101" s="13" t="s">
        <v>52</v>
      </c>
      <c r="E101" s="13" t="s">
        <v>31</v>
      </c>
      <c r="F101" s="11" t="s">
        <v>53</v>
      </c>
      <c r="G101" s="11" t="s">
        <v>54</v>
      </c>
      <c r="H101" s="11" t="s">
        <v>55</v>
      </c>
      <c r="I101" s="14">
        <v>45092</v>
      </c>
      <c r="J101" s="13"/>
      <c r="K101" s="15">
        <f t="shared" ca="1" si="22"/>
        <v>45092</v>
      </c>
      <c r="L101" s="16">
        <f t="shared" ca="1" si="23"/>
        <v>-888</v>
      </c>
      <c r="M101" s="15">
        <f ca="1">IF(OR(B101="General - Recoradorio Exclusiones",B101="General - Recoradorio Exclusiones"),IF(WEEKDAY(K101,2)=6,(K101-VLOOKUP(B101,'-'!A:B,2,0)),IF(WEEKDAY(K101,2)=7,(K101-VLOOKUP(B101,'-'!A:B,2,0)),(K101-VLOOKUP(B101,'-'!A:B,2,0)))),IF(WEEKDAY(K101,2)=6,(K101-VLOOKUP(B101,'-'!A:B,2,0))-1,IF(WEEKDAY(K101,2)=7,(K101-VLOOKUP(B101,'-'!A:B,2,0))-2,(K101-VLOOKUP(B101,'-'!A:B,2,0)))))</f>
        <v>45063</v>
      </c>
      <c r="N101" s="16">
        <f t="shared" ca="1" si="24"/>
        <v>0</v>
      </c>
      <c r="O101" s="16" t="str">
        <f>""</f>
        <v/>
      </c>
      <c r="P101" s="16" t="str">
        <f t="shared" ca="1" si="25"/>
        <v/>
      </c>
      <c r="Q101" s="16" t="str">
        <f t="shared" ca="1" si="26"/>
        <v>Notificar</v>
      </c>
      <c r="R101" s="17" t="str">
        <f ca="1">IF(Q101="","",VLOOKUP(A101&amp;C101,'-'!D:E,2,0))</f>
        <v>mhernandez@u-storage.com.mx;hnieto@u-storage.com.mx</v>
      </c>
      <c r="S101" s="17" t="str">
        <f t="shared" ca="1" si="27"/>
        <v>Caducidad dominio | gip.com.mx</v>
      </c>
      <c r="T101" s="17" t="str">
        <f t="shared" ca="1" si="28"/>
        <v>Caducidad dominio
Telmex
gip.com.mx
Fin de caducidad: 15.06.2023
-888 Dias</v>
      </c>
    </row>
    <row r="102" spans="1:20" x14ac:dyDescent="0.35">
      <c r="A102" s="12" t="s">
        <v>17</v>
      </c>
      <c r="B102" s="12" t="s">
        <v>309</v>
      </c>
      <c r="C102" s="12" t="s">
        <v>250</v>
      </c>
      <c r="D102" s="13" t="s">
        <v>56</v>
      </c>
      <c r="E102" s="13" t="s">
        <v>31</v>
      </c>
      <c r="F102" s="11" t="s">
        <v>57</v>
      </c>
      <c r="G102" s="11" t="s">
        <v>58</v>
      </c>
      <c r="H102" s="11" t="s">
        <v>59</v>
      </c>
      <c r="I102" s="14">
        <v>45117</v>
      </c>
      <c r="J102" s="13"/>
      <c r="K102" s="15">
        <f t="shared" ca="1" si="22"/>
        <v>45117</v>
      </c>
      <c r="L102" s="16">
        <f t="shared" ca="1" si="23"/>
        <v>-863</v>
      </c>
      <c r="M102" s="15">
        <f ca="1">IF(OR(B102="General - Recoradorio Exclusiones",B102="General - Recoradorio Exclusiones"),IF(WEEKDAY(K102,2)=6,(K102-VLOOKUP(B102,'-'!A:B,2,0)),IF(WEEKDAY(K102,2)=7,(K102-VLOOKUP(B102,'-'!A:B,2,0)),(K102-VLOOKUP(B102,'-'!A:B,2,0)))),IF(WEEKDAY(K102,2)=6,(K102-VLOOKUP(B102,'-'!A:B,2,0))-1,IF(WEEKDAY(K102,2)=7,(K102-VLOOKUP(B102,'-'!A:B,2,0))-2,(K102-VLOOKUP(B102,'-'!A:B,2,0)))))</f>
        <v>45088</v>
      </c>
      <c r="N102" s="16">
        <f t="shared" ca="1" si="24"/>
        <v>0</v>
      </c>
      <c r="O102" s="16" t="str">
        <f>""</f>
        <v/>
      </c>
      <c r="P102" s="16" t="str">
        <f t="shared" ca="1" si="25"/>
        <v/>
      </c>
      <c r="Q102" s="16" t="str">
        <f t="shared" ca="1" si="26"/>
        <v>Notificar</v>
      </c>
      <c r="R102" s="17" t="str">
        <f ca="1">IF(Q102="","",VLOOKUP(A102&amp;C102,'-'!D:E,2,0))</f>
        <v>mhernandez@u-storage.com.mx;hnieto@u-storage.com.mx</v>
      </c>
      <c r="S102" s="17" t="str">
        <f t="shared" ca="1" si="27"/>
        <v>Caducidad dominio | almacenatodo.com.mx</v>
      </c>
      <c r="T102" s="17" t="str">
        <f t="shared" ca="1" si="28"/>
        <v>Caducidad dominio
Telmex
almacenatodo.com.mx
Fin de caducidad: 10.07.2023
-863 Dias</v>
      </c>
    </row>
    <row r="103" spans="1:20" x14ac:dyDescent="0.35">
      <c r="A103" s="12" t="s">
        <v>17</v>
      </c>
      <c r="B103" s="12" t="s">
        <v>309</v>
      </c>
      <c r="C103" s="12" t="s">
        <v>250</v>
      </c>
      <c r="D103" s="13" t="s">
        <v>60</v>
      </c>
      <c r="E103" s="13" t="s">
        <v>31</v>
      </c>
      <c r="F103" s="11" t="s">
        <v>61</v>
      </c>
      <c r="G103" s="11" t="s">
        <v>62</v>
      </c>
      <c r="H103" s="11" t="s">
        <v>63</v>
      </c>
      <c r="I103" s="14">
        <v>45117</v>
      </c>
      <c r="J103" s="13"/>
      <c r="K103" s="15">
        <f t="shared" ca="1" si="22"/>
        <v>45117</v>
      </c>
      <c r="L103" s="16">
        <f t="shared" ca="1" si="23"/>
        <v>-863</v>
      </c>
      <c r="M103" s="15">
        <f ca="1">IF(OR(B103="General - Recoradorio Exclusiones",B103="General - Recoradorio Exclusiones"),IF(WEEKDAY(K103,2)=6,(K103-VLOOKUP(B103,'-'!A:B,2,0)),IF(WEEKDAY(K103,2)=7,(K103-VLOOKUP(B103,'-'!A:B,2,0)),(K103-VLOOKUP(B103,'-'!A:B,2,0)))),IF(WEEKDAY(K103,2)=6,(K103-VLOOKUP(B103,'-'!A:B,2,0))-1,IF(WEEKDAY(K103,2)=7,(K103-VLOOKUP(B103,'-'!A:B,2,0))-2,(K103-VLOOKUP(B103,'-'!A:B,2,0)))))</f>
        <v>45088</v>
      </c>
      <c r="N103" s="16">
        <f t="shared" ca="1" si="24"/>
        <v>0</v>
      </c>
      <c r="O103" s="16" t="str">
        <f>""</f>
        <v/>
      </c>
      <c r="P103" s="16" t="str">
        <f t="shared" ca="1" si="25"/>
        <v/>
      </c>
      <c r="Q103" s="16" t="str">
        <f t="shared" ca="1" si="26"/>
        <v>Notificar</v>
      </c>
      <c r="R103" s="17" t="str">
        <f ca="1">IF(Q103="","",VLOOKUP(A103&amp;C103,'-'!D:E,2,0))</f>
        <v>mhernandez@u-storage.com.mx;hnieto@u-storage.com.mx</v>
      </c>
      <c r="S103" s="17" t="str">
        <f t="shared" ca="1" si="27"/>
        <v>Caducidad dominio | minibodega.com.mx</v>
      </c>
      <c r="T103" s="17" t="str">
        <f t="shared" ca="1" si="28"/>
        <v>Caducidad dominio
Telmex
minibodega.com.mx
Fin de caducidad: 10.07.2023
-863 Dias</v>
      </c>
    </row>
    <row r="104" spans="1:20" x14ac:dyDescent="0.35">
      <c r="A104" s="12" t="s">
        <v>17</v>
      </c>
      <c r="B104" s="12" t="s">
        <v>309</v>
      </c>
      <c r="C104" s="12" t="s">
        <v>250</v>
      </c>
      <c r="D104" s="13" t="s">
        <v>64</v>
      </c>
      <c r="E104" s="13" t="s">
        <v>31</v>
      </c>
      <c r="F104" s="11" t="s">
        <v>65</v>
      </c>
      <c r="G104" s="11" t="s">
        <v>66</v>
      </c>
      <c r="H104" s="11" t="s">
        <v>67</v>
      </c>
      <c r="I104" s="14">
        <v>45117</v>
      </c>
      <c r="J104" s="13"/>
      <c r="K104" s="15">
        <f t="shared" ca="1" si="22"/>
        <v>45117</v>
      </c>
      <c r="L104" s="16">
        <f t="shared" ca="1" si="23"/>
        <v>-863</v>
      </c>
      <c r="M104" s="15">
        <f ca="1">IF(OR(B104="General - Recoradorio Exclusiones",B104="General - Recoradorio Exclusiones"),IF(WEEKDAY(K104,2)=6,(K104-VLOOKUP(B104,'-'!A:B,2,0)),IF(WEEKDAY(K104,2)=7,(K104-VLOOKUP(B104,'-'!A:B,2,0)),(K104-VLOOKUP(B104,'-'!A:B,2,0)))),IF(WEEKDAY(K104,2)=6,(K104-VLOOKUP(B104,'-'!A:B,2,0))-1,IF(WEEKDAY(K104,2)=7,(K104-VLOOKUP(B104,'-'!A:B,2,0))-2,(K104-VLOOKUP(B104,'-'!A:B,2,0)))))</f>
        <v>45088</v>
      </c>
      <c r="N104" s="16">
        <f t="shared" ca="1" si="24"/>
        <v>0</v>
      </c>
      <c r="O104" s="16" t="str">
        <f>""</f>
        <v/>
      </c>
      <c r="P104" s="16" t="str">
        <f t="shared" ca="1" si="25"/>
        <v/>
      </c>
      <c r="Q104" s="16" t="str">
        <f t="shared" ca="1" si="26"/>
        <v>Notificar</v>
      </c>
      <c r="R104" s="17" t="str">
        <f ca="1">IF(Q104="","",VLOOKUP(A104&amp;C104,'-'!D:E,2,0))</f>
        <v>mhernandez@u-storage.com.mx;hnieto@u-storage.com.mx</v>
      </c>
      <c r="S104" s="17" t="str">
        <f t="shared" ca="1" si="27"/>
        <v>Caducidad dominio | mini-bodega.com.mx</v>
      </c>
      <c r="T104" s="17" t="str">
        <f t="shared" ca="1" si="28"/>
        <v>Caducidad dominio
Telmex
mini-bodega.com.mx
Fin de caducidad: 10.07.2023
-863 Dias</v>
      </c>
    </row>
    <row r="105" spans="1:20" x14ac:dyDescent="0.35">
      <c r="A105" s="12" t="s">
        <v>17</v>
      </c>
      <c r="B105" s="12" t="s">
        <v>309</v>
      </c>
      <c r="C105" s="12" t="s">
        <v>250</v>
      </c>
      <c r="D105" s="13" t="s">
        <v>73</v>
      </c>
      <c r="E105" s="13" t="s">
        <v>31</v>
      </c>
      <c r="F105" s="11" t="s">
        <v>74</v>
      </c>
      <c r="G105" s="11" t="s">
        <v>75</v>
      </c>
      <c r="H105" s="11" t="s">
        <v>76</v>
      </c>
      <c r="I105" s="14">
        <v>45117</v>
      </c>
      <c r="J105" s="13"/>
      <c r="K105" s="15">
        <f t="shared" ca="1" si="22"/>
        <v>45117</v>
      </c>
      <c r="L105" s="16">
        <f t="shared" ca="1" si="23"/>
        <v>-863</v>
      </c>
      <c r="M105" s="15">
        <f ca="1">IF(OR(B105="General - Recoradorio Exclusiones",B105="General - Recoradorio Exclusiones"),IF(WEEKDAY(K105,2)=6,(K105-VLOOKUP(B105,'-'!A:B,2,0)),IF(WEEKDAY(K105,2)=7,(K105-VLOOKUP(B105,'-'!A:B,2,0)),(K105-VLOOKUP(B105,'-'!A:B,2,0)))),IF(WEEKDAY(K105,2)=6,(K105-VLOOKUP(B105,'-'!A:B,2,0))-1,IF(WEEKDAY(K105,2)=7,(K105-VLOOKUP(B105,'-'!A:B,2,0))-2,(K105-VLOOKUP(B105,'-'!A:B,2,0)))))</f>
        <v>45088</v>
      </c>
      <c r="N105" s="16">
        <f t="shared" ca="1" si="24"/>
        <v>0</v>
      </c>
      <c r="O105" s="16" t="str">
        <f>""</f>
        <v/>
      </c>
      <c r="P105" s="16" t="str">
        <f t="shared" ca="1" si="25"/>
        <v/>
      </c>
      <c r="Q105" s="16" t="str">
        <f t="shared" ca="1" si="26"/>
        <v>Notificar</v>
      </c>
      <c r="R105" s="17" t="str">
        <f ca="1">IF(Q105="","",VLOOKUP(A105&amp;C105,'-'!D:E,2,0))</f>
        <v>mhernandez@u-storage.com.mx;hnieto@u-storage.com.mx</v>
      </c>
      <c r="S105" s="17" t="str">
        <f t="shared" ca="1" si="27"/>
        <v>Caducidad dominio | rentaminibodegas.com.mx</v>
      </c>
      <c r="T105" s="17" t="str">
        <f t="shared" ca="1" si="28"/>
        <v>Caducidad dominio
Telmex
rentaminibodegas.com.mx
Fin de caducidad: 10.07.2023
-863 Dias</v>
      </c>
    </row>
    <row r="106" spans="1:20" x14ac:dyDescent="0.35">
      <c r="A106" s="12" t="s">
        <v>17</v>
      </c>
      <c r="B106" s="12" t="s">
        <v>309</v>
      </c>
      <c r="C106" s="12" t="s">
        <v>250</v>
      </c>
      <c r="D106" s="13" t="s">
        <v>77</v>
      </c>
      <c r="E106" s="13" t="s">
        <v>31</v>
      </c>
      <c r="F106" s="11" t="s">
        <v>78</v>
      </c>
      <c r="G106" s="11" t="s">
        <v>79</v>
      </c>
      <c r="H106" s="11" t="s">
        <v>80</v>
      </c>
      <c r="I106" s="14">
        <v>45117</v>
      </c>
      <c r="J106" s="13"/>
      <c r="K106" s="15">
        <f t="shared" ca="1" si="22"/>
        <v>45117</v>
      </c>
      <c r="L106" s="16">
        <f t="shared" ca="1" si="23"/>
        <v>-863</v>
      </c>
      <c r="M106" s="15">
        <f ca="1">IF(OR(B106="General - Recoradorio Exclusiones",B106="General - Recoradorio Exclusiones"),IF(WEEKDAY(K106,2)=6,(K106-VLOOKUP(B106,'-'!A:B,2,0)),IF(WEEKDAY(K106,2)=7,(K106-VLOOKUP(B106,'-'!A:B,2,0)),(K106-VLOOKUP(B106,'-'!A:B,2,0)))),IF(WEEKDAY(K106,2)=6,(K106-VLOOKUP(B106,'-'!A:B,2,0))-1,IF(WEEKDAY(K106,2)=7,(K106-VLOOKUP(B106,'-'!A:B,2,0))-2,(K106-VLOOKUP(B106,'-'!A:B,2,0)))))</f>
        <v>45088</v>
      </c>
      <c r="N106" s="16">
        <f t="shared" ca="1" si="24"/>
        <v>0</v>
      </c>
      <c r="O106" s="16" t="str">
        <f>""</f>
        <v/>
      </c>
      <c r="P106" s="16" t="str">
        <f t="shared" ca="1" si="25"/>
        <v/>
      </c>
      <c r="Q106" s="16" t="str">
        <f t="shared" ca="1" si="26"/>
        <v>Notificar</v>
      </c>
      <c r="R106" s="17" t="str">
        <f ca="1">IF(Q106="","",VLOOKUP(A106&amp;C106,'-'!D:E,2,0))</f>
        <v>mhernandez@u-storage.com.mx;hnieto@u-storage.com.mx</v>
      </c>
      <c r="S106" s="17" t="str">
        <f t="shared" ca="1" si="27"/>
        <v>Caducidad dominio | self-storage.com.mx</v>
      </c>
      <c r="T106" s="17" t="str">
        <f t="shared" ca="1" si="28"/>
        <v>Caducidad dominio
Telmex
self-storage.com.mx
Fin de caducidad: 10.07.2023
-863 Dias</v>
      </c>
    </row>
    <row r="107" spans="1:20" x14ac:dyDescent="0.35">
      <c r="A107" s="12" t="s">
        <v>17</v>
      </c>
      <c r="B107" s="12" t="s">
        <v>309</v>
      </c>
      <c r="C107" s="12" t="s">
        <v>250</v>
      </c>
      <c r="D107" s="13" t="s">
        <v>81</v>
      </c>
      <c r="E107" s="13" t="s">
        <v>31</v>
      </c>
      <c r="F107" s="11" t="s">
        <v>82</v>
      </c>
      <c r="G107" s="11" t="s">
        <v>83</v>
      </c>
      <c r="H107" s="11" t="s">
        <v>84</v>
      </c>
      <c r="I107" s="14">
        <v>45117</v>
      </c>
      <c r="J107" s="13"/>
      <c r="K107" s="15">
        <f t="shared" ca="1" si="22"/>
        <v>45117</v>
      </c>
      <c r="L107" s="16">
        <f t="shared" ca="1" si="23"/>
        <v>-863</v>
      </c>
      <c r="M107" s="15">
        <f ca="1">IF(OR(B107="General - Recoradorio Exclusiones",B107="General - Recoradorio Exclusiones"),IF(WEEKDAY(K107,2)=6,(K107-VLOOKUP(B107,'-'!A:B,2,0)),IF(WEEKDAY(K107,2)=7,(K107-VLOOKUP(B107,'-'!A:B,2,0)),(K107-VLOOKUP(B107,'-'!A:B,2,0)))),IF(WEEKDAY(K107,2)=6,(K107-VLOOKUP(B107,'-'!A:B,2,0))-1,IF(WEEKDAY(K107,2)=7,(K107-VLOOKUP(B107,'-'!A:B,2,0))-2,(K107-VLOOKUP(B107,'-'!A:B,2,0)))))</f>
        <v>45088</v>
      </c>
      <c r="N107" s="16">
        <f t="shared" ca="1" si="24"/>
        <v>0</v>
      </c>
      <c r="O107" s="16" t="str">
        <f>""</f>
        <v/>
      </c>
      <c r="P107" s="16" t="str">
        <f t="shared" ca="1" si="25"/>
        <v/>
      </c>
      <c r="Q107" s="16" t="str">
        <f t="shared" ca="1" si="26"/>
        <v>Notificar</v>
      </c>
      <c r="R107" s="17" t="str">
        <f ca="1">IF(Q107="","",VLOOKUP(A107&amp;C107,'-'!D:E,2,0))</f>
        <v>mhernandez@u-storage.com.mx;hnieto@u-storage.com.mx</v>
      </c>
      <c r="S107" s="17" t="str">
        <f t="shared" ca="1" si="27"/>
        <v>Caducidad dominio | todocabe.com.mx</v>
      </c>
      <c r="T107" s="17" t="str">
        <f t="shared" ca="1" si="28"/>
        <v>Caducidad dominio
Telmex
todocabe.com.mx
Fin de caducidad: 10.07.2023
-863 Dias</v>
      </c>
    </row>
    <row r="108" spans="1:20" x14ac:dyDescent="0.35">
      <c r="A108" s="12" t="s">
        <v>17</v>
      </c>
      <c r="B108" s="12" t="s">
        <v>309</v>
      </c>
      <c r="C108" s="12" t="s">
        <v>250</v>
      </c>
      <c r="D108" s="13" t="s">
        <v>85</v>
      </c>
      <c r="E108" s="13" t="s">
        <v>31</v>
      </c>
      <c r="F108" s="11" t="s">
        <v>86</v>
      </c>
      <c r="G108" s="11" t="s">
        <v>87</v>
      </c>
      <c r="H108" s="11" t="s">
        <v>88</v>
      </c>
      <c r="I108" s="14">
        <v>45117</v>
      </c>
      <c r="J108" s="13"/>
      <c r="K108" s="15">
        <f t="shared" ca="1" si="22"/>
        <v>45117</v>
      </c>
      <c r="L108" s="16">
        <f t="shared" ca="1" si="23"/>
        <v>-863</v>
      </c>
      <c r="M108" s="15">
        <f ca="1">IF(OR(B108="General - Recoradorio Exclusiones",B108="General - Recoradorio Exclusiones"),IF(WEEKDAY(K108,2)=6,(K108-VLOOKUP(B108,'-'!A:B,2,0)),IF(WEEKDAY(K108,2)=7,(K108-VLOOKUP(B108,'-'!A:B,2,0)),(K108-VLOOKUP(B108,'-'!A:B,2,0)))),IF(WEEKDAY(K108,2)=6,(K108-VLOOKUP(B108,'-'!A:B,2,0))-1,IF(WEEKDAY(K108,2)=7,(K108-VLOOKUP(B108,'-'!A:B,2,0))-2,(K108-VLOOKUP(B108,'-'!A:B,2,0)))))</f>
        <v>45088</v>
      </c>
      <c r="N108" s="16">
        <f t="shared" ca="1" si="24"/>
        <v>0</v>
      </c>
      <c r="O108" s="16" t="str">
        <f>""</f>
        <v/>
      </c>
      <c r="P108" s="16" t="str">
        <f t="shared" ca="1" si="25"/>
        <v/>
      </c>
      <c r="Q108" s="16" t="str">
        <f t="shared" ca="1" si="26"/>
        <v>Notificar</v>
      </c>
      <c r="R108" s="17" t="str">
        <f ca="1">IF(Q108="","",VLOOKUP(A108&amp;C108,'-'!D:E,2,0))</f>
        <v>mhernandez@u-storage.com.mx;hnieto@u-storage.com.mx</v>
      </c>
      <c r="S108" s="17" t="str">
        <f t="shared" ca="1" si="27"/>
        <v>Caducidad dominio | ustorage.com.mx</v>
      </c>
      <c r="T108" s="17" t="str">
        <f t="shared" ca="1" si="28"/>
        <v>Caducidad dominio
Telmex
ustorage.com.mx
Fin de caducidad: 10.07.2023
-863 Dias</v>
      </c>
    </row>
    <row r="109" spans="1:20" x14ac:dyDescent="0.35">
      <c r="A109" s="12" t="s">
        <v>17</v>
      </c>
      <c r="B109" s="12" t="s">
        <v>309</v>
      </c>
      <c r="C109" s="12" t="s">
        <v>250</v>
      </c>
      <c r="D109" s="13" t="s">
        <v>68</v>
      </c>
      <c r="E109" s="13" t="s">
        <v>72</v>
      </c>
      <c r="F109" s="11" t="s">
        <v>69</v>
      </c>
      <c r="G109" s="11" t="s">
        <v>70</v>
      </c>
      <c r="H109" s="11" t="s">
        <v>71</v>
      </c>
      <c r="I109" s="14">
        <v>45117</v>
      </c>
      <c r="J109" s="13"/>
      <c r="K109" s="15">
        <f t="shared" ca="1" si="22"/>
        <v>45117</v>
      </c>
      <c r="L109" s="16">
        <f t="shared" ca="1" si="23"/>
        <v>-863</v>
      </c>
      <c r="M109" s="15">
        <f ca="1">IF(OR(B109="General - Recoradorio Exclusiones",B109="General - Recoradorio Exclusiones"),IF(WEEKDAY(K109,2)=6,(K109-VLOOKUP(B109,'-'!A:B,2,0)),IF(WEEKDAY(K109,2)=7,(K109-VLOOKUP(B109,'-'!A:B,2,0)),(K109-VLOOKUP(B109,'-'!A:B,2,0)))),IF(WEEKDAY(K109,2)=6,(K109-VLOOKUP(B109,'-'!A:B,2,0))-1,IF(WEEKDAY(K109,2)=7,(K109-VLOOKUP(B109,'-'!A:B,2,0))-2,(K109-VLOOKUP(B109,'-'!A:B,2,0)))))</f>
        <v>45088</v>
      </c>
      <c r="N109" s="16">
        <f t="shared" ca="1" si="24"/>
        <v>0</v>
      </c>
      <c r="O109" s="16" t="str">
        <f>""</f>
        <v/>
      </c>
      <c r="P109" s="16" t="str">
        <f t="shared" ca="1" si="25"/>
        <v/>
      </c>
      <c r="Q109" s="16" t="str">
        <f t="shared" ca="1" si="26"/>
        <v>Notificar</v>
      </c>
      <c r="R109" s="17" t="str">
        <f ca="1">IF(Q109="","",VLOOKUP(A109&amp;C109,'-'!D:E,2,0))</f>
        <v>mhernandez@u-storage.com.mx;hnieto@u-storage.com.mx</v>
      </c>
      <c r="S109" s="17" t="str">
        <f t="shared" ca="1" si="27"/>
        <v>Caducidad dominio | rentadebodegas.com.mx</v>
      </c>
      <c r="T109" s="17" t="str">
        <f t="shared" ca="1" si="28"/>
        <v>Caducidad dominio
Tucows Domain Inc
rentadebodegas.com.mx
Fin de caducidad: 10.07.2023
-863 Dias</v>
      </c>
    </row>
    <row r="110" spans="1:20" x14ac:dyDescent="0.35">
      <c r="A110" s="12" t="s">
        <v>17</v>
      </c>
      <c r="B110" s="12" t="s">
        <v>309</v>
      </c>
      <c r="C110" s="12" t="s">
        <v>250</v>
      </c>
      <c r="D110" s="13" t="s">
        <v>103</v>
      </c>
      <c r="E110" s="13" t="s">
        <v>72</v>
      </c>
      <c r="F110" s="11" t="s">
        <v>104</v>
      </c>
      <c r="G110" s="11" t="s">
        <v>105</v>
      </c>
      <c r="H110" s="11" t="s">
        <v>106</v>
      </c>
      <c r="I110" s="14">
        <v>45118</v>
      </c>
      <c r="J110" s="13"/>
      <c r="K110" s="15">
        <f t="shared" ca="1" si="22"/>
        <v>45118</v>
      </c>
      <c r="L110" s="16">
        <f t="shared" ca="1" si="23"/>
        <v>-862</v>
      </c>
      <c r="M110" s="15">
        <f ca="1">IF(OR(B110="General - Recoradorio Exclusiones",B110="General - Recoradorio Exclusiones"),IF(WEEKDAY(K110,2)=6,(K110-VLOOKUP(B110,'-'!A:B,2,0)),IF(WEEKDAY(K110,2)=7,(K110-VLOOKUP(B110,'-'!A:B,2,0)),(K110-VLOOKUP(B110,'-'!A:B,2,0)))),IF(WEEKDAY(K110,2)=6,(K110-VLOOKUP(B110,'-'!A:B,2,0))-1,IF(WEEKDAY(K110,2)=7,(K110-VLOOKUP(B110,'-'!A:B,2,0))-2,(K110-VLOOKUP(B110,'-'!A:B,2,0)))))</f>
        <v>45089</v>
      </c>
      <c r="N110" s="16">
        <f t="shared" ca="1" si="24"/>
        <v>0</v>
      </c>
      <c r="O110" s="16" t="str">
        <f>""</f>
        <v/>
      </c>
      <c r="P110" s="16" t="str">
        <f t="shared" ca="1" si="25"/>
        <v/>
      </c>
      <c r="Q110" s="16" t="str">
        <f t="shared" ca="1" si="26"/>
        <v>Notificar</v>
      </c>
      <c r="R110" s="17" t="str">
        <f ca="1">IF(Q110="","",VLOOKUP(A110&amp;C110,'-'!D:E,2,0))</f>
        <v>mhernandez@u-storage.com.mx;hnieto@u-storage.com.mx</v>
      </c>
      <c r="S110" s="17" t="str">
        <f t="shared" ca="1" si="27"/>
        <v>Caducidad dominio | rentaminibodegas.com</v>
      </c>
      <c r="T110" s="17" t="str">
        <f t="shared" ca="1" si="28"/>
        <v>Caducidad dominio
Tucows Domain Inc
rentaminibodegas.com
Fin de caducidad: 11.07.2023
-862 Dias</v>
      </c>
    </row>
    <row r="111" spans="1:20" x14ac:dyDescent="0.35">
      <c r="A111" s="12" t="s">
        <v>17</v>
      </c>
      <c r="B111" s="12" t="s">
        <v>309</v>
      </c>
      <c r="C111" s="12" t="s">
        <v>250</v>
      </c>
      <c r="D111" s="13" t="s">
        <v>89</v>
      </c>
      <c r="E111" s="13" t="s">
        <v>93</v>
      </c>
      <c r="F111" s="11" t="s">
        <v>90</v>
      </c>
      <c r="G111" s="11" t="s">
        <v>91</v>
      </c>
      <c r="H111" s="11" t="s">
        <v>92</v>
      </c>
      <c r="I111" s="14">
        <v>45118</v>
      </c>
      <c r="J111" s="13"/>
      <c r="K111" s="15">
        <f t="shared" ca="1" si="22"/>
        <v>45118</v>
      </c>
      <c r="L111" s="16">
        <f t="shared" ca="1" si="23"/>
        <v>-862</v>
      </c>
      <c r="M111" s="15">
        <f ca="1">IF(OR(B111="General - Recoradorio Exclusiones",B111="General - Recoradorio Exclusiones"),IF(WEEKDAY(K111,2)=6,(K111-VLOOKUP(B111,'-'!A:B,2,0)),IF(WEEKDAY(K111,2)=7,(K111-VLOOKUP(B111,'-'!A:B,2,0)),(K111-VLOOKUP(B111,'-'!A:B,2,0)))),IF(WEEKDAY(K111,2)=6,(K111-VLOOKUP(B111,'-'!A:B,2,0))-1,IF(WEEKDAY(K111,2)=7,(K111-VLOOKUP(B111,'-'!A:B,2,0))-2,(K111-VLOOKUP(B111,'-'!A:B,2,0)))))</f>
        <v>45089</v>
      </c>
      <c r="N111" s="16">
        <f t="shared" ca="1" si="24"/>
        <v>0</v>
      </c>
      <c r="O111" s="16" t="str">
        <f>""</f>
        <v/>
      </c>
      <c r="P111" s="16" t="str">
        <f t="shared" ca="1" si="25"/>
        <v/>
      </c>
      <c r="Q111" s="16" t="str">
        <f t="shared" ca="1" si="26"/>
        <v>Notificar</v>
      </c>
      <c r="R111" s="17" t="str">
        <f ca="1">IF(Q111="","",VLOOKUP(A111&amp;C111,'-'!D:E,2,0))</f>
        <v>mhernandez@u-storage.com.mx;hnieto@u-storage.com.mx</v>
      </c>
      <c r="S111" s="17" t="str">
        <f t="shared" ca="1" si="27"/>
        <v>Caducidad dominio | almacenatodo.com</v>
      </c>
      <c r="T111" s="17" t="str">
        <f t="shared" ca="1" si="28"/>
        <v>Caducidad dominio
Tucows Domains Inc
almacenatodo.com
Fin de caducidad: 11.07.2023
-862 Dias</v>
      </c>
    </row>
    <row r="112" spans="1:20" x14ac:dyDescent="0.35">
      <c r="A112" s="12" t="s">
        <v>17</v>
      </c>
      <c r="B112" s="12" t="s">
        <v>309</v>
      </c>
      <c r="C112" s="12" t="s">
        <v>250</v>
      </c>
      <c r="D112" s="13" t="s">
        <v>94</v>
      </c>
      <c r="E112" s="13" t="s">
        <v>98</v>
      </c>
      <c r="F112" s="11" t="s">
        <v>95</v>
      </c>
      <c r="G112" s="11" t="s">
        <v>96</v>
      </c>
      <c r="H112" s="11" t="s">
        <v>97</v>
      </c>
      <c r="I112" s="14">
        <v>45118</v>
      </c>
      <c r="J112" s="13"/>
      <c r="K112" s="15">
        <f t="shared" ca="1" si="22"/>
        <v>45118</v>
      </c>
      <c r="L112" s="16">
        <f t="shared" ca="1" si="23"/>
        <v>-862</v>
      </c>
      <c r="M112" s="15">
        <f ca="1">IF(OR(B112="General - Recoradorio Exclusiones",B112="General - Recoradorio Exclusiones"),IF(WEEKDAY(K112,2)=6,(K112-VLOOKUP(B112,'-'!A:B,2,0)),IF(WEEKDAY(K112,2)=7,(K112-VLOOKUP(B112,'-'!A:B,2,0)),(K112-VLOOKUP(B112,'-'!A:B,2,0)))),IF(WEEKDAY(K112,2)=6,(K112-VLOOKUP(B112,'-'!A:B,2,0))-1,IF(WEEKDAY(K112,2)=7,(K112-VLOOKUP(B112,'-'!A:B,2,0))-2,(K112-VLOOKUP(B112,'-'!A:B,2,0)))))</f>
        <v>45089</v>
      </c>
      <c r="N112" s="16">
        <f t="shared" ca="1" si="24"/>
        <v>0</v>
      </c>
      <c r="O112" s="16" t="str">
        <f>""</f>
        <v/>
      </c>
      <c r="P112" s="16" t="str">
        <f t="shared" ca="1" si="25"/>
        <v/>
      </c>
      <c r="Q112" s="16" t="str">
        <f t="shared" ca="1" si="26"/>
        <v>Notificar</v>
      </c>
      <c r="R112" s="17" t="str">
        <f ca="1">IF(Q112="","",VLOOKUP(A112&amp;C112,'-'!D:E,2,0))</f>
        <v>mhernandez@u-storage.com.mx;hnieto@u-storage.com.mx</v>
      </c>
      <c r="S112" s="17" t="str">
        <f t="shared" ca="1" si="27"/>
        <v>Caducidad dominio | mini-bodega.com</v>
      </c>
      <c r="T112" s="17" t="str">
        <f t="shared" ca="1" si="28"/>
        <v>Caducidad dominio
Tucows Domains Inc.
mini-bodega.com
Fin de caducidad: 11.07.2023
-862 Dias</v>
      </c>
    </row>
    <row r="113" spans="1:20" x14ac:dyDescent="0.35">
      <c r="A113" s="12" t="s">
        <v>17</v>
      </c>
      <c r="B113" s="12" t="s">
        <v>309</v>
      </c>
      <c r="C113" s="12" t="s">
        <v>250</v>
      </c>
      <c r="D113" s="13" t="s">
        <v>99</v>
      </c>
      <c r="E113" s="13" t="s">
        <v>98</v>
      </c>
      <c r="F113" s="11" t="s">
        <v>100</v>
      </c>
      <c r="G113" s="11" t="s">
        <v>101</v>
      </c>
      <c r="H113" s="11" t="s">
        <v>102</v>
      </c>
      <c r="I113" s="14">
        <v>45118</v>
      </c>
      <c r="J113" s="13"/>
      <c r="K113" s="15">
        <f t="shared" ca="1" si="22"/>
        <v>45118</v>
      </c>
      <c r="L113" s="16">
        <f t="shared" ca="1" si="23"/>
        <v>-862</v>
      </c>
      <c r="M113" s="15">
        <f ca="1">IF(OR(B113="General - Recoradorio Exclusiones",B113="General - Recoradorio Exclusiones"),IF(WEEKDAY(K113,2)=6,(K113-VLOOKUP(B113,'-'!A:B,2,0)),IF(WEEKDAY(K113,2)=7,(K113-VLOOKUP(B113,'-'!A:B,2,0)),(K113-VLOOKUP(B113,'-'!A:B,2,0)))),IF(WEEKDAY(K113,2)=6,(K113-VLOOKUP(B113,'-'!A:B,2,0))-1,IF(WEEKDAY(K113,2)=7,(K113-VLOOKUP(B113,'-'!A:B,2,0))-2,(K113-VLOOKUP(B113,'-'!A:B,2,0)))))</f>
        <v>45089</v>
      </c>
      <c r="N113" s="16">
        <f t="shared" ca="1" si="24"/>
        <v>0</v>
      </c>
      <c r="O113" s="16" t="str">
        <f>""</f>
        <v/>
      </c>
      <c r="P113" s="16" t="str">
        <f t="shared" ca="1" si="25"/>
        <v/>
      </c>
      <c r="Q113" s="16" t="str">
        <f t="shared" ca="1" si="26"/>
        <v>Notificar</v>
      </c>
      <c r="R113" s="17" t="str">
        <f ca="1">IF(Q113="","",VLOOKUP(A113&amp;C113,'-'!D:E,2,0))</f>
        <v>mhernandez@u-storage.com.mx;hnieto@u-storage.com.mx</v>
      </c>
      <c r="S113" s="17" t="str">
        <f t="shared" ca="1" si="27"/>
        <v>Caducidad dominio | rentadebodega.com</v>
      </c>
      <c r="T113" s="17" t="str">
        <f t="shared" ca="1" si="28"/>
        <v>Caducidad dominio
Tucows Domains Inc.
rentadebodega.com
Fin de caducidad: 11.07.2023
-862 Dias</v>
      </c>
    </row>
    <row r="114" spans="1:20" x14ac:dyDescent="0.35">
      <c r="A114" s="12" t="s">
        <v>17</v>
      </c>
      <c r="B114" s="12" t="s">
        <v>309</v>
      </c>
      <c r="C114" s="12" t="s">
        <v>250</v>
      </c>
      <c r="D114" s="13" t="s">
        <v>107</v>
      </c>
      <c r="E114" s="13" t="s">
        <v>22</v>
      </c>
      <c r="F114" s="11" t="s">
        <v>108</v>
      </c>
      <c r="G114" s="11" t="s">
        <v>109</v>
      </c>
      <c r="H114" s="11" t="s">
        <v>110</v>
      </c>
      <c r="I114" s="14">
        <v>45122</v>
      </c>
      <c r="J114" s="13"/>
      <c r="K114" s="15">
        <f t="shared" ca="1" si="22"/>
        <v>45122</v>
      </c>
      <c r="L114" s="16">
        <f t="shared" ca="1" si="23"/>
        <v>-858</v>
      </c>
      <c r="M114" s="15">
        <f ca="1">IF(OR(B114="General - Recoradorio Exclusiones",B114="General - Recoradorio Exclusiones"),IF(WEEKDAY(K114,2)=6,(K114-VLOOKUP(B114,'-'!A:B,2,0)),IF(WEEKDAY(K114,2)=7,(K114-VLOOKUP(B114,'-'!A:B,2,0)),(K114-VLOOKUP(B114,'-'!A:B,2,0)))),IF(WEEKDAY(K114,2)=6,(K114-VLOOKUP(B114,'-'!A:B,2,0))-1,IF(WEEKDAY(K114,2)=7,(K114-VLOOKUP(B114,'-'!A:B,2,0))-2,(K114-VLOOKUP(B114,'-'!A:B,2,0)))))</f>
        <v>45092</v>
      </c>
      <c r="N114" s="16">
        <f t="shared" ca="1" si="24"/>
        <v>0</v>
      </c>
      <c r="O114" s="16" t="str">
        <f>""</f>
        <v/>
      </c>
      <c r="P114" s="16" t="str">
        <f t="shared" ca="1" si="25"/>
        <v/>
      </c>
      <c r="Q114" s="16" t="str">
        <f t="shared" ca="1" si="26"/>
        <v>Notificar</v>
      </c>
      <c r="R114" s="17" t="str">
        <f ca="1">IF(Q114="","",VLOOKUP(A114&amp;C114,'-'!D:E,2,0))</f>
        <v>mhernandez@u-storage.com.mx;hnieto@u-storage.com.mx</v>
      </c>
      <c r="S114" s="17" t="str">
        <f t="shared" ca="1" si="27"/>
        <v>Caducidad dominio | bodeguitas.net</v>
      </c>
      <c r="T114" s="17" t="str">
        <f t="shared" ca="1" si="28"/>
        <v>Caducidad dominio
Akky
bodeguitas.net
Fin de caducidad: 15.07.2023
-858 Dias</v>
      </c>
    </row>
    <row r="115" spans="1:20" x14ac:dyDescent="0.35">
      <c r="A115" s="12" t="s">
        <v>383</v>
      </c>
      <c r="B115" s="12" t="s">
        <v>384</v>
      </c>
      <c r="C115" s="12" t="s">
        <v>1015</v>
      </c>
      <c r="D115" s="12" t="s">
        <v>1016</v>
      </c>
      <c r="E115" s="12" t="s">
        <v>250</v>
      </c>
      <c r="F115" s="11" t="s">
        <v>1020</v>
      </c>
      <c r="G115" s="11"/>
      <c r="H115" s="11"/>
      <c r="I115" s="14">
        <v>45102</v>
      </c>
      <c r="J115" s="13"/>
      <c r="K115" s="15">
        <f t="shared" ca="1" si="22"/>
        <v>45102</v>
      </c>
      <c r="L115" s="16">
        <f t="shared" ca="1" si="23"/>
        <v>-878</v>
      </c>
      <c r="M115" s="15">
        <f ca="1">IF(OR(B115="General - Recoradorio Exclusiones",B115="General - Recoradorio Exclusiones"),IF(WEEKDAY(K115,2)=6,(K115-VLOOKUP(B115,'-'!A:B,2,0)),IF(WEEKDAY(K115,2)=7,(K115-VLOOKUP(B115,'-'!A:B,2,0)),(K115-VLOOKUP(B115,'-'!A:B,2,0)))),IF(WEEKDAY(K115,2)=6,(K115-VLOOKUP(B115,'-'!A:B,2,0))-1,IF(WEEKDAY(K115,2)=7,(K115-VLOOKUP(B115,'-'!A:B,2,0))-2,(K115-VLOOKUP(B115,'-'!A:B,2,0)))))</f>
        <v>45100</v>
      </c>
      <c r="N115" s="16">
        <f t="shared" ca="1" si="24"/>
        <v>0</v>
      </c>
      <c r="O115" s="16" t="str">
        <f>""</f>
        <v/>
      </c>
      <c r="P115" s="16" t="str">
        <f t="shared" ca="1" si="25"/>
        <v/>
      </c>
      <c r="Q115" s="16" t="str">
        <f t="shared" ca="1" si="26"/>
        <v>Notificar</v>
      </c>
      <c r="R115" s="17" t="str">
        <f ca="1">IF(Q115="","",VLOOKUP(A115&amp;C115,'-'!D:E,2,0))</f>
        <v>hnieto@u-storage.com.mx</v>
      </c>
      <c r="S115" s="17" t="str">
        <f t="shared" ca="1" si="27"/>
        <v>General - Recoradorio Interno</v>
      </c>
      <c r="T115" s="17" t="str">
        <f t="shared" ca="1" si="28"/>
        <v>Recordar: Solicitar a Edith Hernandez 'edhernandez@u-storage.com.mx' CSF todas Q2</v>
      </c>
    </row>
    <row r="116" spans="1:20" x14ac:dyDescent="0.35">
      <c r="A116" s="12" t="s">
        <v>631</v>
      </c>
      <c r="B116" s="12" t="s">
        <v>384</v>
      </c>
      <c r="C116" s="12" t="s">
        <v>632</v>
      </c>
      <c r="D116" s="12" t="s">
        <v>633</v>
      </c>
      <c r="E116" s="12" t="s">
        <v>250</v>
      </c>
      <c r="F116" s="11" t="s">
        <v>637</v>
      </c>
      <c r="G116" s="11"/>
      <c r="H116" s="11"/>
      <c r="I116" s="14">
        <v>45102</v>
      </c>
      <c r="J116" s="13"/>
      <c r="K116" s="15">
        <f t="shared" ca="1" si="22"/>
        <v>45102</v>
      </c>
      <c r="L116" s="16">
        <f t="shared" ca="1" si="23"/>
        <v>-878</v>
      </c>
      <c r="M116" s="15">
        <f ca="1">IF(OR(B116="General - Recoradorio Exclusiones",B116="General - Recoradorio Exclusiones"),IF(WEEKDAY(K116,2)=6,(K116-VLOOKUP(B116,'-'!A:B,2,0)),IF(WEEKDAY(K116,2)=7,(K116-VLOOKUP(B116,'-'!A:B,2,0)),(K116-VLOOKUP(B116,'-'!A:B,2,0)))),IF(WEEKDAY(K116,2)=6,(K116-VLOOKUP(B116,'-'!A:B,2,0))-1,IF(WEEKDAY(K116,2)=7,(K116-VLOOKUP(B116,'-'!A:B,2,0))-2,(K116-VLOOKUP(B116,'-'!A:B,2,0)))))</f>
        <v>45100</v>
      </c>
      <c r="N116" s="16">
        <f t="shared" ca="1" si="24"/>
        <v>0</v>
      </c>
      <c r="O116" s="16" t="str">
        <f>""</f>
        <v/>
      </c>
      <c r="P116" s="16" t="str">
        <f t="shared" ca="1" si="25"/>
        <v/>
      </c>
      <c r="Q116" s="16" t="str">
        <f t="shared" ca="1" si="26"/>
        <v>Notificar</v>
      </c>
      <c r="R116" s="17" t="str">
        <f ca="1">IF(Q116="","",VLOOKUP(A116&amp;C116,'-'!D:E,2,0))</f>
        <v>hnieto@u-storage.com.mx</v>
      </c>
      <c r="S116" s="17" t="str">
        <f t="shared" ca="1" si="27"/>
        <v>General - Recoradorio Interno</v>
      </c>
      <c r="T116" s="17" t="str">
        <f t="shared" ca="1" si="28"/>
        <v>Recordar: Solicitar si existe aplicativo que se deje de pagar para el Q3</v>
      </c>
    </row>
    <row r="117" spans="1:20" x14ac:dyDescent="0.35">
      <c r="A117" s="12" t="s">
        <v>17</v>
      </c>
      <c r="B117" s="12" t="s">
        <v>309</v>
      </c>
      <c r="C117" s="12" t="s">
        <v>250</v>
      </c>
      <c r="D117" s="13" t="s">
        <v>143</v>
      </c>
      <c r="E117" s="13" t="s">
        <v>22</v>
      </c>
      <c r="F117" s="11" t="s">
        <v>144</v>
      </c>
      <c r="G117" s="11" t="s">
        <v>145</v>
      </c>
      <c r="H117" s="11"/>
      <c r="I117" s="14">
        <v>45166</v>
      </c>
      <c r="J117" s="13"/>
      <c r="K117" s="15">
        <f t="shared" ca="1" si="22"/>
        <v>45166</v>
      </c>
      <c r="L117" s="16">
        <f t="shared" ca="1" si="23"/>
        <v>-814</v>
      </c>
      <c r="M117" s="15">
        <f ca="1">IF(OR(B117="General - Recoradorio Exclusiones",B117="General - Recoradorio Exclusiones"),IF(WEEKDAY(K117,2)=6,(K117-VLOOKUP(B117,'-'!A:B,2,0)),IF(WEEKDAY(K117,2)=7,(K117-VLOOKUP(B117,'-'!A:B,2,0)),(K117-VLOOKUP(B117,'-'!A:B,2,0)))),IF(WEEKDAY(K117,2)=6,(K117-VLOOKUP(B117,'-'!A:B,2,0))-1,IF(WEEKDAY(K117,2)=7,(K117-VLOOKUP(B117,'-'!A:B,2,0))-2,(K117-VLOOKUP(B117,'-'!A:B,2,0)))))</f>
        <v>45137</v>
      </c>
      <c r="N117" s="16">
        <f t="shared" ca="1" si="24"/>
        <v>0</v>
      </c>
      <c r="O117" s="16" t="str">
        <f>""</f>
        <v/>
      </c>
      <c r="P117" s="16" t="str">
        <f t="shared" ca="1" si="25"/>
        <v/>
      </c>
      <c r="Q117" s="16" t="str">
        <f t="shared" ca="1" si="26"/>
        <v>Notificar</v>
      </c>
      <c r="R117" s="17" t="str">
        <f ca="1">IF(Q117="","",VLOOKUP(A117&amp;C117,'-'!D:E,2,0))</f>
        <v>mhernandez@u-storage.com.mx;hnieto@u-storage.com.mx</v>
      </c>
      <c r="S117" s="17" t="str">
        <f t="shared" ca="1" si="27"/>
        <v>Caducidad dominio | fibraustorage.com</v>
      </c>
      <c r="T117" s="17" t="str">
        <f t="shared" ca="1" si="28"/>
        <v>Caducidad dominio
Akky
fibraustorage.com
Fin de caducidad: 28.08.2023
-814 Dias</v>
      </c>
    </row>
    <row r="118" spans="1:20" x14ac:dyDescent="0.35">
      <c r="A118" s="12" t="s">
        <v>17</v>
      </c>
      <c r="B118" s="12" t="s">
        <v>309</v>
      </c>
      <c r="C118" s="12" t="s">
        <v>250</v>
      </c>
      <c r="D118" s="13" t="s">
        <v>146</v>
      </c>
      <c r="E118" s="13" t="s">
        <v>22</v>
      </c>
      <c r="F118" s="11" t="s">
        <v>147</v>
      </c>
      <c r="G118" s="11" t="s">
        <v>148</v>
      </c>
      <c r="H118" s="11"/>
      <c r="I118" s="14">
        <v>45166</v>
      </c>
      <c r="J118" s="13"/>
      <c r="K118" s="15">
        <f t="shared" ca="1" si="22"/>
        <v>45166</v>
      </c>
      <c r="L118" s="16">
        <f t="shared" ca="1" si="23"/>
        <v>-814</v>
      </c>
      <c r="M118" s="15">
        <f ca="1">IF(OR(B118="General - Recoradorio Exclusiones",B118="General - Recoradorio Exclusiones"),IF(WEEKDAY(K118,2)=6,(K118-VLOOKUP(B118,'-'!A:B,2,0)),IF(WEEKDAY(K118,2)=7,(K118-VLOOKUP(B118,'-'!A:B,2,0)),(K118-VLOOKUP(B118,'-'!A:B,2,0)))),IF(WEEKDAY(K118,2)=6,(K118-VLOOKUP(B118,'-'!A:B,2,0))-1,IF(WEEKDAY(K118,2)=7,(K118-VLOOKUP(B118,'-'!A:B,2,0))-2,(K118-VLOOKUP(B118,'-'!A:B,2,0)))))</f>
        <v>45137</v>
      </c>
      <c r="N118" s="16">
        <f t="shared" ca="1" si="24"/>
        <v>0</v>
      </c>
      <c r="O118" s="16" t="str">
        <f>""</f>
        <v/>
      </c>
      <c r="P118" s="16" t="str">
        <f t="shared" ca="1" si="25"/>
        <v/>
      </c>
      <c r="Q118" s="16" t="str">
        <f t="shared" ca="1" si="26"/>
        <v>Notificar</v>
      </c>
      <c r="R118" s="17" t="str">
        <f ca="1">IF(Q118="","",VLOOKUP(A118&amp;C118,'-'!D:E,2,0))</f>
        <v>mhernandez@u-storage.com.mx;hnieto@u-storage.com.mx</v>
      </c>
      <c r="S118" s="17" t="str">
        <f t="shared" ca="1" si="27"/>
        <v>Caducidad dominio | fibrau-storage.com</v>
      </c>
      <c r="T118" s="17" t="str">
        <f t="shared" ca="1" si="28"/>
        <v>Caducidad dominio
Akky
fibrau-storage.com
Fin de caducidad: 28.08.2023
-814 Dias</v>
      </c>
    </row>
    <row r="119" spans="1:20" x14ac:dyDescent="0.35">
      <c r="A119" s="12" t="s">
        <v>17</v>
      </c>
      <c r="B119" s="12" t="s">
        <v>309</v>
      </c>
      <c r="C119" s="12" t="s">
        <v>250</v>
      </c>
      <c r="D119" s="13" t="s">
        <v>149</v>
      </c>
      <c r="E119" s="13" t="s">
        <v>22</v>
      </c>
      <c r="F119" s="11" t="s">
        <v>150</v>
      </c>
      <c r="G119" s="11" t="s">
        <v>151</v>
      </c>
      <c r="H119" s="11"/>
      <c r="I119" s="14">
        <v>45166</v>
      </c>
      <c r="J119" s="13"/>
      <c r="K119" s="15">
        <f t="shared" ca="1" si="22"/>
        <v>45166</v>
      </c>
      <c r="L119" s="16">
        <f t="shared" ca="1" si="23"/>
        <v>-814</v>
      </c>
      <c r="M119" s="15">
        <f ca="1">IF(OR(B119="General - Recoradorio Exclusiones",B119="General - Recoradorio Exclusiones"),IF(WEEKDAY(K119,2)=6,(K119-VLOOKUP(B119,'-'!A:B,2,0)),IF(WEEKDAY(K119,2)=7,(K119-VLOOKUP(B119,'-'!A:B,2,0)),(K119-VLOOKUP(B119,'-'!A:B,2,0)))),IF(WEEKDAY(K119,2)=6,(K119-VLOOKUP(B119,'-'!A:B,2,0))-1,IF(WEEKDAY(K119,2)=7,(K119-VLOOKUP(B119,'-'!A:B,2,0))-2,(K119-VLOOKUP(B119,'-'!A:B,2,0)))))</f>
        <v>45137</v>
      </c>
      <c r="N119" s="16">
        <f t="shared" ca="1" si="24"/>
        <v>0</v>
      </c>
      <c r="O119" s="16" t="str">
        <f>""</f>
        <v/>
      </c>
      <c r="P119" s="16" t="str">
        <f t="shared" ca="1" si="25"/>
        <v/>
      </c>
      <c r="Q119" s="16" t="str">
        <f t="shared" ca="1" si="26"/>
        <v>Notificar</v>
      </c>
      <c r="R119" s="17" t="str">
        <f ca="1">IF(Q119="","",VLOOKUP(A119&amp;C119,'-'!D:E,2,0))</f>
        <v>mhernandez@u-storage.com.mx;hnieto@u-storage.com.mx</v>
      </c>
      <c r="S119" s="17" t="str">
        <f t="shared" ca="1" si="27"/>
        <v>Caducidad dominio | fibraustorage.com.mx</v>
      </c>
      <c r="T119" s="17" t="str">
        <f t="shared" ca="1" si="28"/>
        <v>Caducidad dominio
Akky
fibraustorage.com.mx
Fin de caducidad: 28.08.2023
-814 Dias</v>
      </c>
    </row>
    <row r="120" spans="1:20" x14ac:dyDescent="0.35">
      <c r="A120" s="12" t="s">
        <v>17</v>
      </c>
      <c r="B120" s="12" t="s">
        <v>309</v>
      </c>
      <c r="C120" s="12" t="s">
        <v>250</v>
      </c>
      <c r="D120" s="13" t="s">
        <v>152</v>
      </c>
      <c r="E120" s="13" t="s">
        <v>22</v>
      </c>
      <c r="F120" s="11" t="s">
        <v>153</v>
      </c>
      <c r="G120" s="11" t="s">
        <v>154</v>
      </c>
      <c r="H120" s="11"/>
      <c r="I120" s="14">
        <v>45166</v>
      </c>
      <c r="J120" s="13"/>
      <c r="K120" s="15">
        <f t="shared" ca="1" si="22"/>
        <v>45166</v>
      </c>
      <c r="L120" s="16">
        <f t="shared" ca="1" si="23"/>
        <v>-814</v>
      </c>
      <c r="M120" s="15">
        <f ca="1">IF(OR(B120="General - Recoradorio Exclusiones",B120="General - Recoradorio Exclusiones"),IF(WEEKDAY(K120,2)=6,(K120-VLOOKUP(B120,'-'!A:B,2,0)),IF(WEEKDAY(K120,2)=7,(K120-VLOOKUP(B120,'-'!A:B,2,0)),(K120-VLOOKUP(B120,'-'!A:B,2,0)))),IF(WEEKDAY(K120,2)=6,(K120-VLOOKUP(B120,'-'!A:B,2,0))-1,IF(WEEKDAY(K120,2)=7,(K120-VLOOKUP(B120,'-'!A:B,2,0))-2,(K120-VLOOKUP(B120,'-'!A:B,2,0)))))</f>
        <v>45137</v>
      </c>
      <c r="N120" s="16">
        <f t="shared" ca="1" si="24"/>
        <v>0</v>
      </c>
      <c r="O120" s="16" t="str">
        <f>""</f>
        <v/>
      </c>
      <c r="P120" s="16" t="str">
        <f t="shared" ca="1" si="25"/>
        <v/>
      </c>
      <c r="Q120" s="16" t="str">
        <f t="shared" ca="1" si="26"/>
        <v>Notificar</v>
      </c>
      <c r="R120" s="17" t="str">
        <f ca="1">IF(Q120="","",VLOOKUP(A120&amp;C120,'-'!D:E,2,0))</f>
        <v>mhernandez@u-storage.com.mx;hnieto@u-storage.com.mx</v>
      </c>
      <c r="S120" s="17" t="str">
        <f t="shared" ca="1" si="27"/>
        <v>Caducidad dominio | fibrau-storage.com.mx</v>
      </c>
      <c r="T120" s="17" t="str">
        <f t="shared" ca="1" si="28"/>
        <v>Caducidad dominio
Akky
fibrau-storage.com.mx
Fin de caducidad: 28.08.2023
-814 Dias</v>
      </c>
    </row>
    <row r="121" spans="1:20" x14ac:dyDescent="0.35">
      <c r="A121" s="12" t="s">
        <v>17</v>
      </c>
      <c r="B121" s="12" t="s">
        <v>309</v>
      </c>
      <c r="C121" s="12" t="s">
        <v>250</v>
      </c>
      <c r="D121" s="13" t="s">
        <v>155</v>
      </c>
      <c r="E121" s="13" t="s">
        <v>22</v>
      </c>
      <c r="F121" s="11" t="s">
        <v>156</v>
      </c>
      <c r="G121" s="11" t="s">
        <v>157</v>
      </c>
      <c r="H121" s="11"/>
      <c r="I121" s="14">
        <v>45166</v>
      </c>
      <c r="J121" s="13"/>
      <c r="K121" s="15">
        <f t="shared" ca="1" si="22"/>
        <v>45166</v>
      </c>
      <c r="L121" s="16">
        <f t="shared" ca="1" si="23"/>
        <v>-814</v>
      </c>
      <c r="M121" s="15">
        <f ca="1">IF(OR(B121="General - Recoradorio Exclusiones",B121="General - Recoradorio Exclusiones"),IF(WEEKDAY(K121,2)=6,(K121-VLOOKUP(B121,'-'!A:B,2,0)),IF(WEEKDAY(K121,2)=7,(K121-VLOOKUP(B121,'-'!A:B,2,0)),(K121-VLOOKUP(B121,'-'!A:B,2,0)))),IF(WEEKDAY(K121,2)=6,(K121-VLOOKUP(B121,'-'!A:B,2,0))-1,IF(WEEKDAY(K121,2)=7,(K121-VLOOKUP(B121,'-'!A:B,2,0))-2,(K121-VLOOKUP(B121,'-'!A:B,2,0)))))</f>
        <v>45137</v>
      </c>
      <c r="N121" s="16">
        <f t="shared" ca="1" si="24"/>
        <v>0</v>
      </c>
      <c r="O121" s="16" t="str">
        <f>""</f>
        <v/>
      </c>
      <c r="P121" s="16" t="str">
        <f t="shared" ca="1" si="25"/>
        <v/>
      </c>
      <c r="Q121" s="16" t="str">
        <f t="shared" ca="1" si="26"/>
        <v>Notificar</v>
      </c>
      <c r="R121" s="17" t="str">
        <f ca="1">IF(Q121="","",VLOOKUP(A121&amp;C121,'-'!D:E,2,0))</f>
        <v>mhernandez@u-storage.com.mx;hnieto@u-storage.com.mx</v>
      </c>
      <c r="S121" s="17" t="str">
        <f t="shared" ca="1" si="27"/>
        <v>Caducidad dominio | fibraustorage.mx</v>
      </c>
      <c r="T121" s="17" t="str">
        <f t="shared" ca="1" si="28"/>
        <v>Caducidad dominio
Akky
fibraustorage.mx
Fin de caducidad: 28.08.2023
-814 Dias</v>
      </c>
    </row>
    <row r="122" spans="1:20" x14ac:dyDescent="0.35">
      <c r="A122" s="12" t="s">
        <v>17</v>
      </c>
      <c r="B122" s="12" t="s">
        <v>309</v>
      </c>
      <c r="C122" s="12" t="s">
        <v>250</v>
      </c>
      <c r="D122" s="13" t="s">
        <v>158</v>
      </c>
      <c r="E122" s="13" t="s">
        <v>22</v>
      </c>
      <c r="F122" s="11" t="s">
        <v>159</v>
      </c>
      <c r="G122" s="11" t="s">
        <v>160</v>
      </c>
      <c r="H122" s="11"/>
      <c r="I122" s="14">
        <v>45166</v>
      </c>
      <c r="J122" s="13"/>
      <c r="K122" s="15">
        <f t="shared" ca="1" si="22"/>
        <v>45166</v>
      </c>
      <c r="L122" s="16">
        <f t="shared" ca="1" si="23"/>
        <v>-814</v>
      </c>
      <c r="M122" s="15">
        <f ca="1">IF(OR(B122="General - Recoradorio Exclusiones",B122="General - Recoradorio Exclusiones"),IF(WEEKDAY(K122,2)=6,(K122-VLOOKUP(B122,'-'!A:B,2,0)),IF(WEEKDAY(K122,2)=7,(K122-VLOOKUP(B122,'-'!A:B,2,0)),(K122-VLOOKUP(B122,'-'!A:B,2,0)))),IF(WEEKDAY(K122,2)=6,(K122-VLOOKUP(B122,'-'!A:B,2,0))-1,IF(WEEKDAY(K122,2)=7,(K122-VLOOKUP(B122,'-'!A:B,2,0))-2,(K122-VLOOKUP(B122,'-'!A:B,2,0)))))</f>
        <v>45137</v>
      </c>
      <c r="N122" s="16">
        <f t="shared" ca="1" si="24"/>
        <v>0</v>
      </c>
      <c r="O122" s="16" t="str">
        <f>""</f>
        <v/>
      </c>
      <c r="P122" s="16" t="str">
        <f t="shared" ca="1" si="25"/>
        <v/>
      </c>
      <c r="Q122" s="16" t="str">
        <f t="shared" ca="1" si="26"/>
        <v>Notificar</v>
      </c>
      <c r="R122" s="17" t="str">
        <f ca="1">IF(Q122="","",VLOOKUP(A122&amp;C122,'-'!D:E,2,0))</f>
        <v>mhernandez@u-storage.com.mx;hnieto@u-storage.com.mx</v>
      </c>
      <c r="S122" s="17" t="str">
        <f t="shared" ca="1" si="27"/>
        <v>Caducidad dominio | fibrau-storage.mx</v>
      </c>
      <c r="T122" s="17" t="str">
        <f t="shared" ca="1" si="28"/>
        <v>Caducidad dominio
Akky
fibrau-storage.mx
Fin de caducidad: 28.08.2023
-814 Dias</v>
      </c>
    </row>
    <row r="123" spans="1:20" x14ac:dyDescent="0.35">
      <c r="A123" s="12" t="s">
        <v>17</v>
      </c>
      <c r="B123" s="12" t="s">
        <v>309</v>
      </c>
      <c r="C123" s="12" t="s">
        <v>250</v>
      </c>
      <c r="D123" s="13" t="s">
        <v>118</v>
      </c>
      <c r="E123" s="13" t="s">
        <v>22</v>
      </c>
      <c r="F123" s="11" t="s">
        <v>119</v>
      </c>
      <c r="G123" s="11" t="s">
        <v>120</v>
      </c>
      <c r="H123" s="11" t="s">
        <v>121</v>
      </c>
      <c r="I123" s="14">
        <v>45199</v>
      </c>
      <c r="J123" s="13"/>
      <c r="K123" s="15">
        <f t="shared" ca="1" si="22"/>
        <v>45199</v>
      </c>
      <c r="L123" s="16">
        <f t="shared" ca="1" si="23"/>
        <v>-781</v>
      </c>
      <c r="M123" s="15">
        <f ca="1">IF(OR(B123="General - Recoradorio Exclusiones",B123="General - Recoradorio Exclusiones"),IF(WEEKDAY(K123,2)=6,(K123-VLOOKUP(B123,'-'!A:B,2,0)),IF(WEEKDAY(K123,2)=7,(K123-VLOOKUP(B123,'-'!A:B,2,0)),(K123-VLOOKUP(B123,'-'!A:B,2,0)))),IF(WEEKDAY(K123,2)=6,(K123-VLOOKUP(B123,'-'!A:B,2,0))-1,IF(WEEKDAY(K123,2)=7,(K123-VLOOKUP(B123,'-'!A:B,2,0))-2,(K123-VLOOKUP(B123,'-'!A:B,2,0)))))</f>
        <v>45169</v>
      </c>
      <c r="N123" s="16">
        <f t="shared" ca="1" si="24"/>
        <v>0</v>
      </c>
      <c r="O123" s="16" t="str">
        <f>""</f>
        <v/>
      </c>
      <c r="P123" s="16" t="str">
        <f t="shared" ca="1" si="25"/>
        <v/>
      </c>
      <c r="Q123" s="16" t="str">
        <f t="shared" ca="1" si="26"/>
        <v>Notificar</v>
      </c>
      <c r="R123" s="17" t="str">
        <f ca="1">IF(Q123="","",VLOOKUP(A123&amp;C123,'-'!D:E,2,0))</f>
        <v>mhernandez@u-storage.com.mx;hnieto@u-storage.com.mx</v>
      </c>
      <c r="S123" s="17" t="str">
        <f t="shared" ca="1" si="27"/>
        <v>Caducidad dominio | facturacion-guardabox.com</v>
      </c>
      <c r="T123" s="17" t="str">
        <f t="shared" ca="1" si="28"/>
        <v>Caducidad dominio
Akky
facturacion-guardabox.com
Fin de caducidad: 30.09.2023
-781 Dias</v>
      </c>
    </row>
    <row r="124" spans="1:20" x14ac:dyDescent="0.35">
      <c r="A124" s="12" t="s">
        <v>17</v>
      </c>
      <c r="B124" s="12" t="s">
        <v>309</v>
      </c>
      <c r="C124" s="12" t="s">
        <v>250</v>
      </c>
      <c r="D124" s="13" t="s">
        <v>161</v>
      </c>
      <c r="E124" s="13" t="s">
        <v>22</v>
      </c>
      <c r="F124" s="11" t="s">
        <v>162</v>
      </c>
      <c r="G124" s="11" t="s">
        <v>163</v>
      </c>
      <c r="H124" s="11" t="s">
        <v>164</v>
      </c>
      <c r="I124" s="14">
        <v>45199</v>
      </c>
      <c r="J124" s="13"/>
      <c r="K124" s="15">
        <f t="shared" ca="1" si="22"/>
        <v>45199</v>
      </c>
      <c r="L124" s="16">
        <f t="shared" ca="1" si="23"/>
        <v>-781</v>
      </c>
      <c r="M124" s="15">
        <f ca="1">IF(OR(B124="General - Recoradorio Exclusiones",B124="General - Recoradorio Exclusiones"),IF(WEEKDAY(K124,2)=6,(K124-VLOOKUP(B124,'-'!A:B,2,0)),IF(WEEKDAY(K124,2)=7,(K124-VLOOKUP(B124,'-'!A:B,2,0)),(K124-VLOOKUP(B124,'-'!A:B,2,0)))),IF(WEEKDAY(K124,2)=6,(K124-VLOOKUP(B124,'-'!A:B,2,0))-1,IF(WEEKDAY(K124,2)=7,(K124-VLOOKUP(B124,'-'!A:B,2,0))-2,(K124-VLOOKUP(B124,'-'!A:B,2,0)))))</f>
        <v>45169</v>
      </c>
      <c r="N124" s="16">
        <f t="shared" ca="1" si="24"/>
        <v>0</v>
      </c>
      <c r="O124" s="16" t="str">
        <f>""</f>
        <v/>
      </c>
      <c r="P124" s="16" t="str">
        <f t="shared" ca="1" si="25"/>
        <v/>
      </c>
      <c r="Q124" s="16" t="str">
        <f t="shared" ca="1" si="26"/>
        <v>Notificar</v>
      </c>
      <c r="R124" s="17" t="str">
        <f ca="1">IF(Q124="","",VLOOKUP(A124&amp;C124,'-'!D:E,2,0))</f>
        <v>mhernandez@u-storage.com.mx;hnieto@u-storage.com.mx</v>
      </c>
      <c r="S124" s="17" t="str">
        <f t="shared" ca="1" si="27"/>
        <v>Caducidad dominio | rentadelockers.com</v>
      </c>
      <c r="T124" s="17" t="str">
        <f t="shared" ca="1" si="28"/>
        <v>Caducidad dominio
Akky
rentadelockers.com
Fin de caducidad: 30.09.2023
-781 Dias</v>
      </c>
    </row>
    <row r="125" spans="1:20" x14ac:dyDescent="0.35">
      <c r="A125" s="12" t="s">
        <v>17</v>
      </c>
      <c r="B125" s="12" t="s">
        <v>309</v>
      </c>
      <c r="C125" s="12" t="s">
        <v>250</v>
      </c>
      <c r="D125" s="13" t="s">
        <v>165</v>
      </c>
      <c r="E125" s="13" t="s">
        <v>22</v>
      </c>
      <c r="F125" s="11" t="s">
        <v>166</v>
      </c>
      <c r="G125" s="11" t="s">
        <v>167</v>
      </c>
      <c r="H125" s="11" t="s">
        <v>168</v>
      </c>
      <c r="I125" s="14">
        <v>45199</v>
      </c>
      <c r="J125" s="13"/>
      <c r="K125" s="15">
        <f t="shared" ca="1" si="22"/>
        <v>45199</v>
      </c>
      <c r="L125" s="16">
        <f t="shared" ca="1" si="23"/>
        <v>-781</v>
      </c>
      <c r="M125" s="15">
        <f ca="1">IF(OR(B125="General - Recoradorio Exclusiones",B125="General - Recoradorio Exclusiones"),IF(WEEKDAY(K125,2)=6,(K125-VLOOKUP(B125,'-'!A:B,2,0)),IF(WEEKDAY(K125,2)=7,(K125-VLOOKUP(B125,'-'!A:B,2,0)),(K125-VLOOKUP(B125,'-'!A:B,2,0)))),IF(WEEKDAY(K125,2)=6,(K125-VLOOKUP(B125,'-'!A:B,2,0))-1,IF(WEEKDAY(K125,2)=7,(K125-VLOOKUP(B125,'-'!A:B,2,0))-2,(K125-VLOOKUP(B125,'-'!A:B,2,0)))))</f>
        <v>45169</v>
      </c>
      <c r="N125" s="16">
        <f t="shared" ca="1" si="24"/>
        <v>0</v>
      </c>
      <c r="O125" s="16" t="str">
        <f>""</f>
        <v/>
      </c>
      <c r="P125" s="16" t="str">
        <f t="shared" ca="1" si="25"/>
        <v/>
      </c>
      <c r="Q125" s="16" t="str">
        <f t="shared" ca="1" si="26"/>
        <v>Notificar</v>
      </c>
      <c r="R125" s="17" t="str">
        <f ca="1">IF(Q125="","",VLOOKUP(A125&amp;C125,'-'!D:E,2,0))</f>
        <v>mhernandez@u-storage.com.mx;hnieto@u-storage.com.mx</v>
      </c>
      <c r="S125" s="17" t="str">
        <f t="shared" ca="1" si="27"/>
        <v>Caducidad dominio | rentadelockers.com.mx</v>
      </c>
      <c r="T125" s="17" t="str">
        <f t="shared" ca="1" si="28"/>
        <v>Caducidad dominio
Akky
rentadelockers.com.mx
Fin de caducidad: 30.09.2023
-781 Dias</v>
      </c>
    </row>
    <row r="126" spans="1:20" x14ac:dyDescent="0.35">
      <c r="A126" s="12" t="s">
        <v>17</v>
      </c>
      <c r="B126" s="12" t="s">
        <v>309</v>
      </c>
      <c r="C126" s="12" t="s">
        <v>250</v>
      </c>
      <c r="D126" s="13" t="s">
        <v>169</v>
      </c>
      <c r="E126" s="13" t="s">
        <v>22</v>
      </c>
      <c r="F126" s="11" t="s">
        <v>170</v>
      </c>
      <c r="G126" s="11" t="s">
        <v>171</v>
      </c>
      <c r="H126" s="11" t="s">
        <v>172</v>
      </c>
      <c r="I126" s="14">
        <v>45199</v>
      </c>
      <c r="J126" s="13"/>
      <c r="K126" s="15">
        <f t="shared" ca="1" si="22"/>
        <v>45199</v>
      </c>
      <c r="L126" s="16">
        <f t="shared" ca="1" si="23"/>
        <v>-781</v>
      </c>
      <c r="M126" s="15">
        <f ca="1">IF(OR(B126="General - Recoradorio Exclusiones",B126="General - Recoradorio Exclusiones"),IF(WEEKDAY(K126,2)=6,(K126-VLOOKUP(B126,'-'!A:B,2,0)),IF(WEEKDAY(K126,2)=7,(K126-VLOOKUP(B126,'-'!A:B,2,0)),(K126-VLOOKUP(B126,'-'!A:B,2,0)))),IF(WEEKDAY(K126,2)=6,(K126-VLOOKUP(B126,'-'!A:B,2,0))-1,IF(WEEKDAY(K126,2)=7,(K126-VLOOKUP(B126,'-'!A:B,2,0))-2,(K126-VLOOKUP(B126,'-'!A:B,2,0)))))</f>
        <v>45169</v>
      </c>
      <c r="N126" s="16">
        <f t="shared" ca="1" si="24"/>
        <v>0</v>
      </c>
      <c r="O126" s="16" t="str">
        <f>""</f>
        <v/>
      </c>
      <c r="P126" s="16" t="str">
        <f t="shared" ca="1" si="25"/>
        <v/>
      </c>
      <c r="Q126" s="16" t="str">
        <f t="shared" ca="1" si="26"/>
        <v>Notificar</v>
      </c>
      <c r="R126" s="17" t="str">
        <f ca="1">IF(Q126="","",VLOOKUP(A126&amp;C126,'-'!D:E,2,0))</f>
        <v>mhernandez@u-storage.com.mx;hnieto@u-storage.com.mx</v>
      </c>
      <c r="S126" s="17" t="str">
        <f t="shared" ca="1" si="27"/>
        <v>Caducidad dominio | rentadelockers.mx</v>
      </c>
      <c r="T126" s="17" t="str">
        <f t="shared" ca="1" si="28"/>
        <v>Caducidad dominio
Akky
rentadelockers.mx
Fin de caducidad: 30.09.2023
-781 Dias</v>
      </c>
    </row>
    <row r="127" spans="1:20" x14ac:dyDescent="0.35">
      <c r="A127" s="12" t="s">
        <v>17</v>
      </c>
      <c r="B127" s="12" t="s">
        <v>309</v>
      </c>
      <c r="C127" s="12" t="s">
        <v>250</v>
      </c>
      <c r="D127" s="13" t="s">
        <v>126</v>
      </c>
      <c r="E127" s="13" t="s">
        <v>22</v>
      </c>
      <c r="F127" s="11" t="s">
        <v>127</v>
      </c>
      <c r="G127" s="11" t="s">
        <v>128</v>
      </c>
      <c r="H127" s="11" t="s">
        <v>129</v>
      </c>
      <c r="I127" s="14">
        <v>45200</v>
      </c>
      <c r="J127" s="13"/>
      <c r="K127" s="15">
        <f t="shared" ca="1" si="22"/>
        <v>45200</v>
      </c>
      <c r="L127" s="16">
        <f t="shared" ca="1" si="23"/>
        <v>-780</v>
      </c>
      <c r="M127" s="15">
        <f ca="1">IF(OR(B127="General - Recoradorio Exclusiones",B127="General - Recoradorio Exclusiones"),IF(WEEKDAY(K127,2)=6,(K127-VLOOKUP(B127,'-'!A:B,2,0)),IF(WEEKDAY(K127,2)=7,(K127-VLOOKUP(B127,'-'!A:B,2,0)),(K127-VLOOKUP(B127,'-'!A:B,2,0)))),IF(WEEKDAY(K127,2)=6,(K127-VLOOKUP(B127,'-'!A:B,2,0))-1,IF(WEEKDAY(K127,2)=7,(K127-VLOOKUP(B127,'-'!A:B,2,0))-2,(K127-VLOOKUP(B127,'-'!A:B,2,0)))))</f>
        <v>45169</v>
      </c>
      <c r="N127" s="16">
        <f t="shared" ca="1" si="24"/>
        <v>0</v>
      </c>
      <c r="O127" s="16" t="str">
        <f>""</f>
        <v/>
      </c>
      <c r="P127" s="16" t="str">
        <f t="shared" ca="1" si="25"/>
        <v/>
      </c>
      <c r="Q127" s="16" t="str">
        <f t="shared" ca="1" si="26"/>
        <v>Notificar</v>
      </c>
      <c r="R127" s="17" t="str">
        <f ca="1">IF(Q127="","",VLOOKUP(A127&amp;C127,'-'!D:E,2,0))</f>
        <v>mhernandez@u-storage.com.mx;hnieto@u-storage.com.mx</v>
      </c>
      <c r="S127" s="17" t="str">
        <f t="shared" ca="1" si="27"/>
        <v>Caducidad dominio | bodegas.mx</v>
      </c>
      <c r="T127" s="17" t="str">
        <f t="shared" ca="1" si="28"/>
        <v>Caducidad dominio
Akky
bodegas.mx
Fin de caducidad: 01.10.2023
-780 Dias</v>
      </c>
    </row>
    <row r="128" spans="1:20" x14ac:dyDescent="0.35">
      <c r="A128" s="12" t="s">
        <v>17</v>
      </c>
      <c r="B128" s="12" t="s">
        <v>309</v>
      </c>
      <c r="C128" s="12" t="s">
        <v>250</v>
      </c>
      <c r="D128" s="13" t="s">
        <v>32</v>
      </c>
      <c r="E128" s="13" t="s">
        <v>22</v>
      </c>
      <c r="F128" s="11" t="s">
        <v>33</v>
      </c>
      <c r="G128" s="11" t="s">
        <v>34</v>
      </c>
      <c r="H128" s="11" t="s">
        <v>35</v>
      </c>
      <c r="I128" s="14">
        <v>45367</v>
      </c>
      <c r="J128" s="13"/>
      <c r="K128" s="15">
        <f t="shared" ca="1" si="22"/>
        <v>45367</v>
      </c>
      <c r="L128" s="16">
        <f t="shared" ca="1" si="23"/>
        <v>-613</v>
      </c>
      <c r="M128" s="15">
        <f ca="1">IF(OR(B128="General - Recoradorio Exclusiones",B128="General - Recoradorio Exclusiones"),IF(WEEKDAY(K128,2)=6,(K128-VLOOKUP(B128,'-'!A:B,2,0)),IF(WEEKDAY(K128,2)=7,(K128-VLOOKUP(B128,'-'!A:B,2,0)),(K128-VLOOKUP(B128,'-'!A:B,2,0)))),IF(WEEKDAY(K128,2)=6,(K128-VLOOKUP(B128,'-'!A:B,2,0))-1,IF(WEEKDAY(K128,2)=7,(K128-VLOOKUP(B128,'-'!A:B,2,0))-2,(K128-VLOOKUP(B128,'-'!A:B,2,0)))))</f>
        <v>45337</v>
      </c>
      <c r="N128" s="16">
        <f t="shared" ca="1" si="24"/>
        <v>0</v>
      </c>
      <c r="O128" s="16" t="str">
        <f>""</f>
        <v/>
      </c>
      <c r="P128" s="16" t="str">
        <f t="shared" ca="1" si="25"/>
        <v/>
      </c>
      <c r="Q128" s="16" t="str">
        <f t="shared" ca="1" si="26"/>
        <v>Notificar</v>
      </c>
      <c r="R128" s="17" t="str">
        <f ca="1">IF(Q128="","",VLOOKUP(A128&amp;C128,'-'!D:E,2,0))</f>
        <v>mhernandez@u-storage.com.mx;hnieto@u-storage.com.mx</v>
      </c>
      <c r="S128" s="17" t="str">
        <f t="shared" ca="1" si="27"/>
        <v>Caducidad dominio | u-storage.mx</v>
      </c>
      <c r="T128" s="17" t="str">
        <f t="shared" ca="1" si="28"/>
        <v>Caducidad dominio
Akky
u-storage.mx
Fin de caducidad: 16.03.2024
-613 Dias</v>
      </c>
    </row>
    <row r="129" spans="1:20" x14ac:dyDescent="0.35">
      <c r="A129" s="12" t="s">
        <v>17</v>
      </c>
      <c r="B129" s="12" t="s">
        <v>309</v>
      </c>
      <c r="C129" s="12" t="s">
        <v>250</v>
      </c>
      <c r="D129" s="13" t="s">
        <v>18</v>
      </c>
      <c r="E129" s="13" t="s">
        <v>22</v>
      </c>
      <c r="F129" s="12" t="s">
        <v>19</v>
      </c>
      <c r="G129" s="12" t="s">
        <v>20</v>
      </c>
      <c r="H129" s="12" t="s">
        <v>21</v>
      </c>
      <c r="I129" s="14">
        <v>45369</v>
      </c>
      <c r="J129" s="13"/>
      <c r="K129" s="15">
        <f t="shared" ca="1" si="22"/>
        <v>45369</v>
      </c>
      <c r="L129" s="16">
        <f t="shared" ca="1" si="23"/>
        <v>-611</v>
      </c>
      <c r="M129" s="15">
        <f ca="1">IF(OR(B129="General - Recoradorio Exclusiones",B129="General - Recoradorio Exclusiones"),IF(WEEKDAY(K129,2)=6,(K129-VLOOKUP(B129,'-'!A:B,2,0)),IF(WEEKDAY(K129,2)=7,(K129-VLOOKUP(B129,'-'!A:B,2,0)),(K129-VLOOKUP(B129,'-'!A:B,2,0)))),IF(WEEKDAY(K129,2)=6,(K129-VLOOKUP(B129,'-'!A:B,2,0))-1,IF(WEEKDAY(K129,2)=7,(K129-VLOOKUP(B129,'-'!A:B,2,0))-2,(K129-VLOOKUP(B129,'-'!A:B,2,0)))))</f>
        <v>45340</v>
      </c>
      <c r="N129" s="16">
        <f t="shared" ca="1" si="24"/>
        <v>0</v>
      </c>
      <c r="O129" s="16" t="str">
        <f>""</f>
        <v/>
      </c>
      <c r="P129" s="16" t="str">
        <f t="shared" ca="1" si="25"/>
        <v/>
      </c>
      <c r="Q129" s="16" t="str">
        <f t="shared" ca="1" si="26"/>
        <v>Notificar</v>
      </c>
      <c r="R129" s="17" t="str">
        <f ca="1">IF(Q129="","",VLOOKUP(A129&amp;C129,'-'!D:E,2,0))</f>
        <v>mhernandez@u-storage.com.mx;hnieto@u-storage.com.mx</v>
      </c>
      <c r="S129" s="17" t="str">
        <f t="shared" ca="1" si="27"/>
        <v>Caducidad dominio | minibodegas.mx</v>
      </c>
      <c r="T129" s="17" t="str">
        <f t="shared" ca="1" si="28"/>
        <v>Caducidad dominio
Akky
minibodegas.mx
Fin de caducidad: 18.03.2024
-611 Dias</v>
      </c>
    </row>
    <row r="130" spans="1:20" x14ac:dyDescent="0.35">
      <c r="A130" s="12" t="s">
        <v>17</v>
      </c>
      <c r="B130" s="12" t="s">
        <v>309</v>
      </c>
      <c r="C130" s="12" t="s">
        <v>250</v>
      </c>
      <c r="D130" s="13" t="s">
        <v>36</v>
      </c>
      <c r="E130" s="13" t="s">
        <v>22</v>
      </c>
      <c r="F130" s="11" t="s">
        <v>37</v>
      </c>
      <c r="G130" s="11" t="s">
        <v>38</v>
      </c>
      <c r="H130" s="11" t="s">
        <v>39</v>
      </c>
      <c r="I130" s="14">
        <v>45384</v>
      </c>
      <c r="J130" s="13"/>
      <c r="K130" s="15">
        <f t="shared" ref="K130:K161" ca="1" si="29">IF(I130="",IF(TODAY()&lt;=(DATE(YEAR(TODAY()),MONTH(TODAY()),J130)),DATE(YEAR(TODAY()),MONTH(TODAY()),J130),DATE(YEAR(TODAY()),MONTH(TODAY())+1,J130)),I130)</f>
        <v>45384</v>
      </c>
      <c r="L130" s="16">
        <f t="shared" ref="L130:L161" ca="1" si="30">(K130-TODAY())</f>
        <v>-596</v>
      </c>
      <c r="M130" s="15">
        <f ca="1">IF(OR(B130="General - Recoradorio Exclusiones",B130="General - Recoradorio Exclusiones"),IF(WEEKDAY(K130,2)=6,(K130-VLOOKUP(B130,'-'!A:B,2,0)),IF(WEEKDAY(K130,2)=7,(K130-VLOOKUP(B130,'-'!A:B,2,0)),(K130-VLOOKUP(B130,'-'!A:B,2,0)))),IF(WEEKDAY(K130,2)=6,(K130-VLOOKUP(B130,'-'!A:B,2,0))-1,IF(WEEKDAY(K130,2)=7,(K130-VLOOKUP(B130,'-'!A:B,2,0))-2,(K130-VLOOKUP(B130,'-'!A:B,2,0)))))</f>
        <v>45355</v>
      </c>
      <c r="N130" s="16">
        <f t="shared" ref="N130:N161" ca="1" si="31">MAX(0,M130-TODAY())</f>
        <v>0</v>
      </c>
      <c r="O130" s="16" t="str">
        <f>""</f>
        <v/>
      </c>
      <c r="P130" s="16" t="str">
        <f t="shared" ref="P130:P161" ca="1" si="32">IF(AND(N130&lt;&gt;0,O130="X"),"Reiniciar","")</f>
        <v/>
      </c>
      <c r="Q130" s="16" t="str">
        <f t="shared" ca="1" si="26"/>
        <v>Notificar</v>
      </c>
      <c r="R130" s="17" t="str">
        <f ca="1">IF(Q130="","",VLOOKUP(A130&amp;C130,'-'!D:E,2,0))</f>
        <v>mhernandez@u-storage.com.mx;hnieto@u-storage.com.mx</v>
      </c>
      <c r="S130" s="17" t="str">
        <f t="shared" ref="S130:S161" ca="1" si="33">IF(R130="","",IF(ISERROR(SEARCH("General",B130)),IF(ISERROR(SEARCH("caducidad",B130)),B130&amp;" telecomunicaciones | "&amp;C130,B130&amp;" | "&amp;D130),B130))</f>
        <v>Caducidad dominio | u-storagemudanzas.com.mx</v>
      </c>
      <c r="T130" s="17" t="str">
        <f t="shared" ca="1" si="28"/>
        <v>Caducidad dominio
Akky
u-storagemudanzas.com.mx
Fin de caducidad: 02.04.2024
-596 Dias</v>
      </c>
    </row>
    <row r="131" spans="1:20" x14ac:dyDescent="0.35">
      <c r="A131" s="12" t="s">
        <v>17</v>
      </c>
      <c r="B131" s="12" t="s">
        <v>309</v>
      </c>
      <c r="C131" s="12" t="s">
        <v>250</v>
      </c>
      <c r="D131" s="13" t="s">
        <v>40</v>
      </c>
      <c r="E131" s="13" t="s">
        <v>22</v>
      </c>
      <c r="F131" s="11" t="s">
        <v>41</v>
      </c>
      <c r="G131" s="11" t="s">
        <v>42</v>
      </c>
      <c r="H131" s="11" t="s">
        <v>43</v>
      </c>
      <c r="I131" s="14">
        <v>45384</v>
      </c>
      <c r="J131" s="13"/>
      <c r="K131" s="15">
        <f t="shared" ca="1" si="29"/>
        <v>45384</v>
      </c>
      <c r="L131" s="16">
        <f t="shared" ca="1" si="30"/>
        <v>-596</v>
      </c>
      <c r="M131" s="15">
        <f ca="1">IF(OR(B131="General - Recoradorio Exclusiones",B131="General - Recoradorio Exclusiones"),IF(WEEKDAY(K131,2)=6,(K131-VLOOKUP(B131,'-'!A:B,2,0)),IF(WEEKDAY(K131,2)=7,(K131-VLOOKUP(B131,'-'!A:B,2,0)),(K131-VLOOKUP(B131,'-'!A:B,2,0)))),IF(WEEKDAY(K131,2)=6,(K131-VLOOKUP(B131,'-'!A:B,2,0))-1,IF(WEEKDAY(K131,2)=7,(K131-VLOOKUP(B131,'-'!A:B,2,0))-2,(K131-VLOOKUP(B131,'-'!A:B,2,0)))))</f>
        <v>45355</v>
      </c>
      <c r="N131" s="16">
        <f t="shared" ca="1" si="31"/>
        <v>0</v>
      </c>
      <c r="O131" s="16" t="str">
        <f>""</f>
        <v/>
      </c>
      <c r="P131" s="16" t="str">
        <f t="shared" ca="1" si="32"/>
        <v/>
      </c>
      <c r="Q131" s="16" t="str">
        <f t="shared" ca="1" si="26"/>
        <v>Notificar</v>
      </c>
      <c r="R131" s="17" t="str">
        <f ca="1">IF(Q131="","",VLOOKUP(A131&amp;C131,'-'!D:E,2,0))</f>
        <v>mhernandez@u-storage.com.mx;hnieto@u-storage.com.mx</v>
      </c>
      <c r="S131" s="17" t="str">
        <f t="shared" ca="1" si="33"/>
        <v>Caducidad dominio | u-storagemudanzas.mx</v>
      </c>
      <c r="T131" s="17" t="str">
        <f t="shared" ca="1" si="28"/>
        <v>Caducidad dominio
Akky
u-storagemudanzas.mx
Fin de caducidad: 02.04.2024
-596 Dias</v>
      </c>
    </row>
    <row r="132" spans="1:20" x14ac:dyDescent="0.35">
      <c r="A132" s="12" t="s">
        <v>17</v>
      </c>
      <c r="B132" s="12" t="s">
        <v>309</v>
      </c>
      <c r="C132" s="12" t="s">
        <v>250</v>
      </c>
      <c r="D132" s="13" t="s">
        <v>23</v>
      </c>
      <c r="E132" s="13" t="s">
        <v>22</v>
      </c>
      <c r="F132" s="12" t="s">
        <v>24</v>
      </c>
      <c r="G132" s="12" t="s">
        <v>25</v>
      </c>
      <c r="H132" s="12" t="s">
        <v>26</v>
      </c>
      <c r="I132" s="14">
        <v>46097</v>
      </c>
      <c r="J132" s="13"/>
      <c r="K132" s="15">
        <f t="shared" ca="1" si="29"/>
        <v>46097</v>
      </c>
      <c r="L132" s="16">
        <f t="shared" ca="1" si="30"/>
        <v>117</v>
      </c>
      <c r="M132" s="15">
        <f ca="1">IF(OR(B132="General - Recoradorio Exclusiones",B132="General - Recoradorio Exclusiones"),IF(WEEKDAY(K132,2)=6,(K132-VLOOKUP(B132,'-'!A:B,2,0)),IF(WEEKDAY(K132,2)=7,(K132-VLOOKUP(B132,'-'!A:B,2,0)),(K132-VLOOKUP(B132,'-'!A:B,2,0)))),IF(WEEKDAY(K132,2)=6,(K132-VLOOKUP(B132,'-'!A:B,2,0))-1,IF(WEEKDAY(K132,2)=7,(K132-VLOOKUP(B132,'-'!A:B,2,0))-2,(K132-VLOOKUP(B132,'-'!A:B,2,0)))))</f>
        <v>46068</v>
      </c>
      <c r="N132" s="16">
        <f t="shared" ca="1" si="31"/>
        <v>88</v>
      </c>
      <c r="O132" s="16" t="str">
        <f>""</f>
        <v/>
      </c>
      <c r="P132" s="16" t="str">
        <f t="shared" ca="1" si="32"/>
        <v/>
      </c>
      <c r="Q132" s="16" t="str">
        <f t="shared" ca="1" si="26"/>
        <v/>
      </c>
      <c r="R132" s="17" t="str">
        <f ca="1">IF(Q132="","",VLOOKUP(A132&amp;C132,'-'!D:E,2,0))</f>
        <v/>
      </c>
      <c r="S132" s="17" t="str">
        <f t="shared" ca="1" si="33"/>
        <v/>
      </c>
      <c r="T132" s="17" t="str">
        <f t="shared" ca="1" si="28"/>
        <v/>
      </c>
    </row>
    <row r="133" spans="1:20" x14ac:dyDescent="0.35">
      <c r="A133" s="12" t="s">
        <v>17</v>
      </c>
      <c r="B133" s="12" t="s">
        <v>309</v>
      </c>
      <c r="C133" s="12" t="s">
        <v>250</v>
      </c>
      <c r="D133" s="13" t="s">
        <v>177</v>
      </c>
      <c r="E133" s="13" t="s">
        <v>180</v>
      </c>
      <c r="F133" s="11" t="s">
        <v>178</v>
      </c>
      <c r="G133" s="11" t="s">
        <v>179</v>
      </c>
      <c r="H133" s="11"/>
      <c r="I133" s="14">
        <v>46441</v>
      </c>
      <c r="J133" s="13"/>
      <c r="K133" s="15">
        <f t="shared" ca="1" si="29"/>
        <v>46441</v>
      </c>
      <c r="L133" s="16">
        <f t="shared" ca="1" si="30"/>
        <v>461</v>
      </c>
      <c r="M133" s="15">
        <f ca="1">IF(OR(B133="General - Recoradorio Exclusiones",B133="General - Recoradorio Exclusiones"),IF(WEEKDAY(K133,2)=6,(K133-VLOOKUP(B133,'-'!A:B,2,0)),IF(WEEKDAY(K133,2)=7,(K133-VLOOKUP(B133,'-'!A:B,2,0)),(K133-VLOOKUP(B133,'-'!A:B,2,0)))),IF(WEEKDAY(K133,2)=6,(K133-VLOOKUP(B133,'-'!A:B,2,0))-1,IF(WEEKDAY(K133,2)=7,(K133-VLOOKUP(B133,'-'!A:B,2,0))-2,(K133-VLOOKUP(B133,'-'!A:B,2,0)))))</f>
        <v>46412</v>
      </c>
      <c r="N133" s="16">
        <f t="shared" ca="1" si="31"/>
        <v>432</v>
      </c>
      <c r="O133" s="16" t="str">
        <f>""</f>
        <v/>
      </c>
      <c r="P133" s="16" t="str">
        <f t="shared" ca="1" si="32"/>
        <v/>
      </c>
      <c r="Q133" s="16" t="str">
        <f t="shared" ca="1" si="26"/>
        <v/>
      </c>
      <c r="R133" s="17" t="str">
        <f ca="1">IF(Q133="","",VLOOKUP(A133&amp;C133,'-'!D:E,2,0))</f>
        <v/>
      </c>
      <c r="S133" s="17" t="str">
        <f t="shared" ca="1" si="33"/>
        <v/>
      </c>
      <c r="T133" s="17" t="str">
        <f t="shared" ca="1" si="28"/>
        <v/>
      </c>
    </row>
    <row r="134" spans="1:20" x14ac:dyDescent="0.35">
      <c r="A134" s="12" t="s">
        <v>17</v>
      </c>
      <c r="B134" s="12" t="s">
        <v>309</v>
      </c>
      <c r="C134" s="12" t="s">
        <v>250</v>
      </c>
      <c r="D134" s="13" t="s">
        <v>181</v>
      </c>
      <c r="E134" s="13" t="s">
        <v>22</v>
      </c>
      <c r="F134" s="11" t="s">
        <v>182</v>
      </c>
      <c r="G134" s="11" t="s">
        <v>183</v>
      </c>
      <c r="H134" s="11"/>
      <c r="I134" s="14">
        <v>46941</v>
      </c>
      <c r="J134" s="13"/>
      <c r="K134" s="15">
        <f t="shared" ca="1" si="29"/>
        <v>46941</v>
      </c>
      <c r="L134" s="16">
        <f t="shared" ca="1" si="30"/>
        <v>961</v>
      </c>
      <c r="M134" s="15">
        <f ca="1">IF(OR(B134="General - Recoradorio Exclusiones",B134="General - Recoradorio Exclusiones"),IF(WEEKDAY(K134,2)=6,(K134-VLOOKUP(B134,'-'!A:B,2,0)),IF(WEEKDAY(K134,2)=7,(K134-VLOOKUP(B134,'-'!A:B,2,0)),(K134-VLOOKUP(B134,'-'!A:B,2,0)))),IF(WEEKDAY(K134,2)=6,(K134-VLOOKUP(B134,'-'!A:B,2,0))-1,IF(WEEKDAY(K134,2)=7,(K134-VLOOKUP(B134,'-'!A:B,2,0))-2,(K134-VLOOKUP(B134,'-'!A:B,2,0)))))</f>
        <v>46912</v>
      </c>
      <c r="N134" s="16">
        <f t="shared" ca="1" si="31"/>
        <v>932</v>
      </c>
      <c r="O134" s="16" t="str">
        <f>""</f>
        <v/>
      </c>
      <c r="P134" s="16" t="str">
        <f t="shared" ca="1" si="32"/>
        <v/>
      </c>
      <c r="Q134" s="16" t="str">
        <f t="shared" ca="1" si="26"/>
        <v/>
      </c>
      <c r="R134" s="17" t="str">
        <f ca="1">IF(Q134="","",VLOOKUP(A134&amp;C134,'-'!D:E,2,0))</f>
        <v/>
      </c>
      <c r="S134" s="17" t="str">
        <f t="shared" ca="1" si="33"/>
        <v/>
      </c>
      <c r="T134" s="17" t="str">
        <f t="shared" ca="1" si="28"/>
        <v/>
      </c>
    </row>
  </sheetData>
  <autoFilter ref="A1:T134" xr:uid="{5B3C2797-19ED-40AB-813F-7CD5A83535B2}">
    <sortState xmlns:xlrd2="http://schemas.microsoft.com/office/spreadsheetml/2017/richdata2" ref="A2:T134">
      <sortCondition descending="1" ref="Q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90945-5CC5-4D9F-A138-BAD3FCB7E557}">
  <sheetPr codeName="Sheet2">
    <tabColor theme="5" tint="-0.249977111117893"/>
  </sheetPr>
  <dimension ref="A1:L2"/>
  <sheetViews>
    <sheetView zoomScale="80" zoomScaleNormal="80" workbookViewId="0">
      <pane ySplit="1" topLeftCell="A2" activePane="bottomLeft" state="frozen"/>
      <selection pane="bottomLeft"/>
    </sheetView>
  </sheetViews>
  <sheetFormatPr defaultRowHeight="14.5" x14ac:dyDescent="0.35"/>
  <cols>
    <col min="1" max="7" width="17.81640625" customWidth="1"/>
    <col min="8" max="8" width="12.7265625" customWidth="1"/>
    <col min="9" max="10" width="6.36328125" customWidth="1"/>
  </cols>
  <sheetData>
    <row r="1" spans="1:12" ht="33.5" customHeight="1" x14ac:dyDescent="0.35">
      <c r="A1" s="27" t="s">
        <v>641</v>
      </c>
      <c r="B1" s="27" t="s">
        <v>648</v>
      </c>
      <c r="C1" s="27" t="s">
        <v>658</v>
      </c>
      <c r="D1" s="27" t="s">
        <v>649</v>
      </c>
      <c r="E1" s="27" t="s">
        <v>650</v>
      </c>
      <c r="F1" s="27" t="s">
        <v>651</v>
      </c>
      <c r="G1" s="27" t="s">
        <v>347</v>
      </c>
      <c r="H1" s="27" t="s">
        <v>788</v>
      </c>
      <c r="I1" s="27" t="s">
        <v>785</v>
      </c>
      <c r="J1" s="27" t="s">
        <v>786</v>
      </c>
      <c r="K1" s="28" t="s">
        <v>652</v>
      </c>
      <c r="L1" s="29">
        <f>COUNTIFS(K:K,"X")</f>
        <v>0</v>
      </c>
    </row>
    <row r="2" spans="1:12" x14ac:dyDescent="0.35">
      <c r="A2" s="11" t="s">
        <v>700</v>
      </c>
      <c r="B2" s="11" t="s">
        <v>696</v>
      </c>
      <c r="C2" s="11" t="s">
        <v>701</v>
      </c>
      <c r="D2" s="11" t="s">
        <v>702</v>
      </c>
      <c r="E2" s="11" t="s">
        <v>702</v>
      </c>
      <c r="F2" s="11" t="s">
        <v>651</v>
      </c>
      <c r="G2" s="11" t="s">
        <v>703</v>
      </c>
      <c r="H2" s="11" t="s">
        <v>787</v>
      </c>
      <c r="I2" s="11" t="s">
        <v>461</v>
      </c>
      <c r="J2" s="11" t="s">
        <v>461</v>
      </c>
      <c r="K2" s="13"/>
    </row>
  </sheetData>
  <autoFilter ref="A1:K1" xr:uid="{99E90945-5CC5-4D9F-A138-BAD3FCB7E557}">
    <sortState xmlns:xlrd2="http://schemas.microsoft.com/office/spreadsheetml/2017/richdata2" ref="A2:K3">
      <sortCondition descending="1" ref="K1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AC32-3878-485F-B865-E85A03DEE989}">
  <sheetPr codeName="Sheet5">
    <tabColor rgb="FF002060"/>
  </sheetPr>
  <dimension ref="A1:W321"/>
  <sheetViews>
    <sheetView zoomScale="80" zoomScaleNormal="80" workbookViewId="0">
      <selection activeCell="F4" sqref="F4"/>
    </sheetView>
  </sheetViews>
  <sheetFormatPr defaultRowHeight="14.5" x14ac:dyDescent="0.35"/>
  <cols>
    <col min="1" max="22" width="8.6328125" customWidth="1"/>
  </cols>
  <sheetData>
    <row r="1" spans="1:23" x14ac:dyDescent="0.35">
      <c r="A1" s="30" t="s">
        <v>697</v>
      </c>
      <c r="B1" s="30"/>
      <c r="C1" s="30"/>
      <c r="D1" s="30"/>
      <c r="E1" s="30"/>
      <c r="F1" s="30"/>
      <c r="G1" s="30"/>
      <c r="H1" s="30"/>
      <c r="I1" s="30"/>
      <c r="J1" s="30"/>
      <c r="K1" s="30"/>
      <c r="M1" s="34" t="s">
        <v>698</v>
      </c>
      <c r="N1" s="33"/>
      <c r="O1" s="33"/>
      <c r="P1" s="33"/>
      <c r="Q1" s="33"/>
      <c r="R1" s="33"/>
      <c r="S1" s="33"/>
      <c r="T1" s="33"/>
      <c r="U1" s="33"/>
      <c r="V1" s="33"/>
      <c r="W1" s="33"/>
    </row>
    <row r="2" spans="1:23" ht="36" x14ac:dyDescent="0.35">
      <c r="A2" s="31" t="s">
        <v>295</v>
      </c>
      <c r="B2" s="31" t="s">
        <v>296</v>
      </c>
      <c r="C2" s="31" t="s">
        <v>305</v>
      </c>
      <c r="D2" s="32" t="s">
        <v>387</v>
      </c>
      <c r="E2" s="32" t="s">
        <v>300</v>
      </c>
      <c r="F2" s="31" t="s">
        <v>301</v>
      </c>
      <c r="G2" s="31" t="s">
        <v>302</v>
      </c>
      <c r="H2" s="31" t="s">
        <v>303</v>
      </c>
      <c r="I2" s="32" t="s">
        <v>298</v>
      </c>
      <c r="J2" s="32" t="s">
        <v>299</v>
      </c>
      <c r="K2" s="35" t="s">
        <v>699</v>
      </c>
      <c r="M2" s="27" t="s">
        <v>641</v>
      </c>
      <c r="N2" s="27" t="s">
        <v>648</v>
      </c>
      <c r="O2" s="27" t="s">
        <v>658</v>
      </c>
      <c r="P2" s="27" t="s">
        <v>649</v>
      </c>
      <c r="Q2" s="27" t="s">
        <v>650</v>
      </c>
      <c r="R2" s="27" t="s">
        <v>651</v>
      </c>
      <c r="S2" s="27" t="s">
        <v>347</v>
      </c>
      <c r="T2" s="27" t="s">
        <v>788</v>
      </c>
      <c r="U2" s="27" t="s">
        <v>785</v>
      </c>
      <c r="V2" s="27" t="s">
        <v>786</v>
      </c>
      <c r="W2" s="35" t="s">
        <v>699</v>
      </c>
    </row>
    <row r="3" spans="1:23" x14ac:dyDescent="0.35">
      <c r="A3" s="12" t="s">
        <v>383</v>
      </c>
      <c r="B3" s="12" t="s">
        <v>396</v>
      </c>
      <c r="C3" s="12" t="s">
        <v>397</v>
      </c>
      <c r="D3" s="12" t="s">
        <v>382</v>
      </c>
      <c r="E3" s="12" t="s">
        <v>250</v>
      </c>
      <c r="F3" s="11" t="e">
        <f>"Favor de enviarnos las 'bodegas a excluir' del proceso de facturación y las bodegas a las cuales 'no se les va a cobrar interés moratorio'."&amp;CHAR(10)&amp;CHAR(10)&amp;"Anunciando que hoy &lt;"&amp;"30."&amp;IF(MONTH(M3)&lt;10,"0"&amp;MONTH(M3),MONTH(M3))&amp;"."&amp;YEAR(M3)&amp;"&gt; estamos por finalizar la recepción de exclusiones.."&amp;CHAR(10)&amp;CHAR(10)&amp;"Deberá enviarse un solo correo electrónico, el cual contenga como adjunto el visto bueno del DM"&amp;CHAR(10)&amp;CHAR(10)&amp;"Estimados DMs"&amp;CHAR(10)&amp;"Por favor su apoyo con la revisión de las solicitudes"</f>
        <v>#VALUE!</v>
      </c>
      <c r="H3" s="12"/>
      <c r="J3" s="13">
        <v>30</v>
      </c>
      <c r="K3" s="26" t="s">
        <v>705</v>
      </c>
      <c r="M3" s="11" t="s">
        <v>642</v>
      </c>
      <c r="N3" s="11" t="s">
        <v>184</v>
      </c>
      <c r="O3" s="11" t="s">
        <v>664</v>
      </c>
      <c r="P3" s="11" t="s">
        <v>352</v>
      </c>
      <c r="Q3" s="11" t="s">
        <v>657</v>
      </c>
      <c r="R3" s="11" t="s">
        <v>929</v>
      </c>
      <c r="S3" s="11" t="s">
        <v>930</v>
      </c>
      <c r="T3" s="11" t="s">
        <v>461</v>
      </c>
      <c r="U3" s="11" t="s">
        <v>653</v>
      </c>
      <c r="V3" s="11" t="s">
        <v>461</v>
      </c>
      <c r="W3" s="26" t="s">
        <v>695</v>
      </c>
    </row>
    <row r="4" spans="1:23" x14ac:dyDescent="0.35">
      <c r="A4" s="12" t="s">
        <v>383</v>
      </c>
      <c r="B4" s="12" t="s">
        <v>396</v>
      </c>
      <c r="C4" s="12" t="s">
        <v>397</v>
      </c>
      <c r="D4" s="12" t="s">
        <v>382</v>
      </c>
      <c r="E4" s="12" t="s">
        <v>250</v>
      </c>
      <c r="F4" s="11" t="e">
        <f>"Favor de enviarnos las 'bodegas a excluir' del proceso de facturación y las bodegas a las cuales 'no se les va a cobrar interés moratorio'."&amp;CHAR(10)&amp;CHAR(10)&amp;"La información debe ser enviada a más tardar el día &lt;"&amp;"30."&amp;IF(MONTH(N4)&lt;10,"0"&amp;MONTH(N4),MONTH(N4))&amp;"."&amp;YEAR(N4)&amp;"&gt;"&amp;CHAR(10)&amp;CHAR(10)&amp;"Deberá enviarse un solo correo electrónico, el cual contenga como adjunto el visto bueno del DM"&amp;CHAR(10)&amp;CHAR(10)&amp;"Estimados DMs"&amp;CHAR(10)&amp;"Por favor su apoyo con la revisión de las solicitudes"</f>
        <v>#VALUE!</v>
      </c>
      <c r="H4" s="12"/>
      <c r="J4" s="13">
        <v>29</v>
      </c>
      <c r="K4" s="26" t="s">
        <v>705</v>
      </c>
      <c r="M4" s="11" t="s">
        <v>642</v>
      </c>
      <c r="N4" s="11" t="s">
        <v>187</v>
      </c>
      <c r="O4" s="11" t="s">
        <v>679</v>
      </c>
      <c r="P4" s="11" t="s">
        <v>351</v>
      </c>
      <c r="Q4" s="11" t="s">
        <v>656</v>
      </c>
      <c r="R4" s="11" t="s">
        <v>931</v>
      </c>
      <c r="S4" s="11" t="s">
        <v>932</v>
      </c>
      <c r="T4" s="11" t="s">
        <v>461</v>
      </c>
      <c r="U4" s="11" t="s">
        <v>654</v>
      </c>
      <c r="V4" s="11" t="s">
        <v>461</v>
      </c>
      <c r="W4" s="26" t="s">
        <v>695</v>
      </c>
    </row>
    <row r="5" spans="1:23" x14ac:dyDescent="0.35">
      <c r="A5" s="12" t="s">
        <v>383</v>
      </c>
      <c r="B5" s="12" t="s">
        <v>396</v>
      </c>
      <c r="C5" s="12" t="s">
        <v>397</v>
      </c>
      <c r="D5" s="12" t="s">
        <v>382</v>
      </c>
      <c r="E5" s="12" t="s">
        <v>250</v>
      </c>
      <c r="F5" s="11" t="e">
        <f>"Favor de enviarnos las 'bodegas a excluir' del proceso de facturación y las bodegas a las cuales 'no se les va a cobrar interés moratorio'."&amp;CHAR(10)&amp;CHAR(10)&amp;"La información debe ser enviada a más tardar el día &lt;"&amp;"30."&amp;IF(MONTH(N5)&lt;10,"0"&amp;MONTH(N5),MONTH(N5))&amp;"."&amp;YEAR(N5)&amp;"&gt;"&amp;CHAR(10)&amp;CHAR(10)&amp;"Deberá enviarse un solo correo electrónico, el cual contenga como adjunto el visto bueno del DM"&amp;CHAR(10)&amp;CHAR(10)&amp;"Estimados DMs"&amp;CHAR(10)&amp;"Por favor su apoyo con la revisión de las solicitudes"</f>
        <v>#VALUE!</v>
      </c>
      <c r="H5" s="12"/>
      <c r="J5" s="13">
        <v>28</v>
      </c>
      <c r="K5" s="26" t="s">
        <v>705</v>
      </c>
      <c r="M5" s="11" t="s">
        <v>642</v>
      </c>
      <c r="N5" s="11" t="s">
        <v>189</v>
      </c>
      <c r="O5" s="11" t="s">
        <v>685</v>
      </c>
      <c r="P5" s="11" t="s">
        <v>420</v>
      </c>
      <c r="Q5" s="11" t="s">
        <v>656</v>
      </c>
      <c r="R5" s="11" t="s">
        <v>933</v>
      </c>
      <c r="S5" s="11" t="s">
        <v>934</v>
      </c>
      <c r="T5" s="11" t="s">
        <v>461</v>
      </c>
      <c r="U5" s="11" t="s">
        <v>654</v>
      </c>
      <c r="V5" s="11" t="s">
        <v>461</v>
      </c>
      <c r="W5" s="26" t="s">
        <v>695</v>
      </c>
    </row>
    <row r="6" spans="1:23" x14ac:dyDescent="0.35">
      <c r="A6" s="12" t="s">
        <v>383</v>
      </c>
      <c r="B6" s="12" t="s">
        <v>396</v>
      </c>
      <c r="C6" s="12" t="s">
        <v>397</v>
      </c>
      <c r="D6" s="12" t="s">
        <v>382</v>
      </c>
      <c r="E6" s="12" t="s">
        <v>250</v>
      </c>
      <c r="F6" s="11" t="e">
        <f>"Favor de enviarnos las 'bodegas a excluir' del proceso de facturación y las bodegas a las cuales 'no se les va a cobrar interés moratorio'."&amp;CHAR(10)&amp;CHAR(10)&amp;"La información debe ser enviada a más tardar el día &lt;"&amp;"30."&amp;IF(MONTH(N6)&lt;10,"0"&amp;MONTH(N6),MONTH(N6))&amp;"."&amp;YEAR(N6)&amp;"&gt;"&amp;CHAR(10)&amp;CHAR(10)&amp;"Deberá enviarse un solo correo electrónico, el cual contenga como adjunto el visto bueno del DM"&amp;CHAR(10)&amp;CHAR(10)&amp;"Estimados DMs"&amp;CHAR(10)&amp;"Por favor su apoyo con la revisión de las solicitudes"</f>
        <v>#VALUE!</v>
      </c>
      <c r="H6" s="12"/>
      <c r="J6" s="13">
        <v>27</v>
      </c>
      <c r="K6" s="26" t="s">
        <v>705</v>
      </c>
      <c r="M6" s="11" t="s">
        <v>642</v>
      </c>
      <c r="N6" s="11" t="s">
        <v>462</v>
      </c>
      <c r="O6" s="11" t="s">
        <v>659</v>
      </c>
      <c r="P6" s="11" t="s">
        <v>380</v>
      </c>
      <c r="Q6" s="11" t="s">
        <v>656</v>
      </c>
      <c r="R6" s="11" t="s">
        <v>935</v>
      </c>
      <c r="S6" s="11" t="s">
        <v>936</v>
      </c>
      <c r="T6" s="11" t="s">
        <v>461</v>
      </c>
      <c r="U6" s="11" t="s">
        <v>654</v>
      </c>
      <c r="V6" s="11" t="s">
        <v>461</v>
      </c>
      <c r="W6" s="26" t="s">
        <v>695</v>
      </c>
    </row>
    <row r="7" spans="1:23" x14ac:dyDescent="0.35">
      <c r="A7" s="12" t="s">
        <v>383</v>
      </c>
      <c r="B7" s="12" t="s">
        <v>396</v>
      </c>
      <c r="C7" s="12" t="s">
        <v>397</v>
      </c>
      <c r="D7" s="12" t="s">
        <v>382</v>
      </c>
      <c r="E7" s="12" t="s">
        <v>250</v>
      </c>
      <c r="F7" s="11" t="e">
        <f>"Favor de enviarnos las 'bodegas a excluir' del proceso de facturación y las bodegas a las cuales 'no se les va a cobrar interés moratorio'."&amp;CHAR(10)&amp;CHAR(10)&amp;"Anunciando que hoy &lt;"&amp;"31."&amp;IF(MONTH(N7)&lt;10,"0"&amp;MONTH(N7),MONTH(N7))&amp;"."&amp;YEAR(N7)&amp;"&gt; estamos por finalizar la recepción de exclusiones.."&amp;CHAR(10)&amp;CHAR(10)&amp;"Deberá enviarse un solo correo electrónico, el cual contenga como adjunto el visto bueno del DM"&amp;CHAR(10)&amp;CHAR(10)&amp;"Estimados DMs"&amp;CHAR(10)&amp;"Por favor su apoyo con la revisión de las solicitudes"</f>
        <v>#VALUE!</v>
      </c>
      <c r="H7" s="12"/>
      <c r="J7" s="13">
        <v>31</v>
      </c>
      <c r="K7" s="26" t="s">
        <v>705</v>
      </c>
      <c r="M7" s="11" t="s">
        <v>642</v>
      </c>
      <c r="N7" s="11" t="s">
        <v>193</v>
      </c>
      <c r="O7" s="11" t="s">
        <v>669</v>
      </c>
      <c r="P7" s="11" t="s">
        <v>354</v>
      </c>
      <c r="Q7" s="11" t="s">
        <v>656</v>
      </c>
      <c r="R7" s="11" t="s">
        <v>937</v>
      </c>
      <c r="S7" s="11" t="s">
        <v>938</v>
      </c>
      <c r="T7" s="11" t="s">
        <v>461</v>
      </c>
      <c r="U7" s="11" t="s">
        <v>654</v>
      </c>
      <c r="V7" s="11" t="s">
        <v>461</v>
      </c>
      <c r="W7" s="26" t="s">
        <v>695</v>
      </c>
    </row>
    <row r="8" spans="1:23" x14ac:dyDescent="0.35">
      <c r="A8" s="12" t="s">
        <v>383</v>
      </c>
      <c r="B8" s="12" t="s">
        <v>396</v>
      </c>
      <c r="C8" s="12" t="s">
        <v>397</v>
      </c>
      <c r="D8" s="12" t="s">
        <v>382</v>
      </c>
      <c r="E8" s="12" t="s">
        <v>250</v>
      </c>
      <c r="F8" s="11" t="e">
        <f>"Favor de enviarnos las 'bodegas a excluir' del proceso de facturación y las bodegas a las cuales 'no se les va a cobrar interés moratorio'."&amp;CHAR(10)&amp;CHAR(10)&amp;"La información debe ser enviada a más tardar el día &lt;"&amp;"30."&amp;IF(MONTH(N8)&lt;10,"0"&amp;MONTH(N8),MONTH(N8))&amp;"."&amp;YEAR(N8)&amp;"&gt;"&amp;CHAR(10)&amp;CHAR(10)&amp;"Deberá enviarse un solo correo electrónico, el cual contenga como adjunto el visto bueno del DM"&amp;CHAR(10)&amp;CHAR(10)&amp;"Estimados DMs"&amp;CHAR(10)&amp;"Por favor su apoyo con la revisión de las solicitudes"</f>
        <v>#VALUE!</v>
      </c>
      <c r="H8" s="12"/>
      <c r="J8" s="13">
        <v>26</v>
      </c>
      <c r="K8" s="26" t="s">
        <v>705</v>
      </c>
      <c r="M8" s="11" t="s">
        <v>642</v>
      </c>
      <c r="N8" s="11" t="s">
        <v>624</v>
      </c>
      <c r="O8" s="11" t="s">
        <v>666</v>
      </c>
      <c r="P8" s="11" t="s">
        <v>431</v>
      </c>
      <c r="Q8" s="11" t="s">
        <v>655</v>
      </c>
      <c r="R8" s="11" t="s">
        <v>939</v>
      </c>
      <c r="S8" s="11" t="s">
        <v>940</v>
      </c>
      <c r="T8" s="11" t="s">
        <v>461</v>
      </c>
      <c r="U8" s="11" t="s">
        <v>554</v>
      </c>
      <c r="V8" s="11" t="s">
        <v>461</v>
      </c>
      <c r="W8" s="26" t="s">
        <v>695</v>
      </c>
    </row>
    <row r="9" spans="1:23" x14ac:dyDescent="0.35">
      <c r="M9" s="11" t="s">
        <v>642</v>
      </c>
      <c r="N9" s="11" t="s">
        <v>198</v>
      </c>
      <c r="O9" s="11" t="s">
        <v>667</v>
      </c>
      <c r="P9" s="11" t="s">
        <v>417</v>
      </c>
      <c r="Q9" s="11" t="s">
        <v>655</v>
      </c>
      <c r="R9" s="11" t="s">
        <v>941</v>
      </c>
      <c r="S9" s="11" t="s">
        <v>942</v>
      </c>
      <c r="T9" s="11" t="s">
        <v>461</v>
      </c>
      <c r="U9" s="11" t="s">
        <v>554</v>
      </c>
      <c r="V9" s="11" t="s">
        <v>461</v>
      </c>
      <c r="W9" s="26" t="s">
        <v>695</v>
      </c>
    </row>
    <row r="10" spans="1:23" x14ac:dyDescent="0.35">
      <c r="M10" s="11" t="s">
        <v>642</v>
      </c>
      <c r="N10" s="11" t="s">
        <v>201</v>
      </c>
      <c r="O10" s="11" t="s">
        <v>676</v>
      </c>
      <c r="P10" s="11" t="s">
        <v>422</v>
      </c>
      <c r="Q10" s="11" t="s">
        <v>656</v>
      </c>
      <c r="R10" s="11" t="s">
        <v>943</v>
      </c>
      <c r="S10" s="11" t="s">
        <v>944</v>
      </c>
      <c r="T10" s="11" t="s">
        <v>461</v>
      </c>
      <c r="U10" s="11" t="s">
        <v>654</v>
      </c>
      <c r="V10" s="11" t="s">
        <v>461</v>
      </c>
      <c r="W10" s="26" t="s">
        <v>695</v>
      </c>
    </row>
    <row r="11" spans="1:23" x14ac:dyDescent="0.35">
      <c r="M11" s="11" t="s">
        <v>642</v>
      </c>
      <c r="N11" s="11" t="s">
        <v>206</v>
      </c>
      <c r="O11" s="11" t="s">
        <v>682</v>
      </c>
      <c r="P11" s="11" t="s">
        <v>418</v>
      </c>
      <c r="Q11" s="11" t="s">
        <v>656</v>
      </c>
      <c r="R11" s="11" t="s">
        <v>945</v>
      </c>
      <c r="S11" s="11" t="s">
        <v>946</v>
      </c>
      <c r="T11" s="11" t="s">
        <v>461</v>
      </c>
      <c r="U11" s="11" t="s">
        <v>654</v>
      </c>
      <c r="V11" s="11" t="s">
        <v>461</v>
      </c>
      <c r="W11" s="26" t="s">
        <v>695</v>
      </c>
    </row>
    <row r="12" spans="1:23" x14ac:dyDescent="0.35">
      <c r="M12" s="11" t="s">
        <v>642</v>
      </c>
      <c r="N12" s="11" t="s">
        <v>644</v>
      </c>
      <c r="O12" s="11" t="s">
        <v>690</v>
      </c>
      <c r="P12" s="11" t="s">
        <v>356</v>
      </c>
      <c r="Q12" s="11" t="s">
        <v>655</v>
      </c>
      <c r="R12" s="11" t="s">
        <v>947</v>
      </c>
      <c r="S12" s="11" t="s">
        <v>948</v>
      </c>
      <c r="T12" s="11" t="s">
        <v>461</v>
      </c>
      <c r="U12" s="11" t="s">
        <v>554</v>
      </c>
      <c r="V12" s="11" t="s">
        <v>461</v>
      </c>
      <c r="W12" s="26" t="s">
        <v>695</v>
      </c>
    </row>
    <row r="13" spans="1:23" x14ac:dyDescent="0.35">
      <c r="M13" s="11" t="s">
        <v>642</v>
      </c>
      <c r="N13" s="11" t="s">
        <v>212</v>
      </c>
      <c r="O13" s="11" t="s">
        <v>680</v>
      </c>
      <c r="P13" s="11" t="s">
        <v>425</v>
      </c>
      <c r="Q13" s="11" t="s">
        <v>657</v>
      </c>
      <c r="R13" s="11" t="s">
        <v>949</v>
      </c>
      <c r="S13" s="11" t="s">
        <v>950</v>
      </c>
      <c r="T13" s="11" t="s">
        <v>461</v>
      </c>
      <c r="U13" s="11" t="s">
        <v>653</v>
      </c>
      <c r="V13" s="11" t="s">
        <v>461</v>
      </c>
      <c r="W13" s="26" t="s">
        <v>695</v>
      </c>
    </row>
    <row r="14" spans="1:23" x14ac:dyDescent="0.35">
      <c r="M14" s="11" t="s">
        <v>642</v>
      </c>
      <c r="N14" s="11" t="s">
        <v>463</v>
      </c>
      <c r="O14" s="11" t="s">
        <v>686</v>
      </c>
      <c r="P14" s="11" t="s">
        <v>394</v>
      </c>
      <c r="Q14" s="11" t="s">
        <v>656</v>
      </c>
      <c r="R14" s="11" t="s">
        <v>951</v>
      </c>
      <c r="S14" s="11" t="s">
        <v>952</v>
      </c>
      <c r="T14" s="11" t="s">
        <v>461</v>
      </c>
      <c r="U14" s="11" t="s">
        <v>654</v>
      </c>
      <c r="V14" s="11" t="s">
        <v>461</v>
      </c>
      <c r="W14" s="26" t="s">
        <v>695</v>
      </c>
    </row>
    <row r="15" spans="1:23" x14ac:dyDescent="0.35">
      <c r="M15" s="11" t="s">
        <v>642</v>
      </c>
      <c r="N15" s="11" t="s">
        <v>214</v>
      </c>
      <c r="O15" s="11" t="s">
        <v>671</v>
      </c>
      <c r="P15" s="11" t="s">
        <v>415</v>
      </c>
      <c r="Q15" s="11" t="s">
        <v>655</v>
      </c>
      <c r="R15" s="11" t="s">
        <v>953</v>
      </c>
      <c r="S15" s="11" t="s">
        <v>954</v>
      </c>
      <c r="T15" s="11" t="s">
        <v>461</v>
      </c>
      <c r="U15" s="11" t="s">
        <v>554</v>
      </c>
      <c r="V15" s="11" t="s">
        <v>461</v>
      </c>
      <c r="W15" s="26" t="s">
        <v>695</v>
      </c>
    </row>
    <row r="16" spans="1:23" x14ac:dyDescent="0.35">
      <c r="M16" s="11" t="s">
        <v>642</v>
      </c>
      <c r="N16" s="11" t="s">
        <v>217</v>
      </c>
      <c r="O16" s="11" t="s">
        <v>675</v>
      </c>
      <c r="P16" s="11" t="s">
        <v>419</v>
      </c>
      <c r="Q16" s="11" t="s">
        <v>657</v>
      </c>
      <c r="R16" s="11" t="s">
        <v>955</v>
      </c>
      <c r="S16" s="11" t="s">
        <v>956</v>
      </c>
      <c r="T16" s="11" t="s">
        <v>461</v>
      </c>
      <c r="U16" s="11" t="s">
        <v>653</v>
      </c>
      <c r="V16" s="11" t="s">
        <v>461</v>
      </c>
      <c r="W16" s="26" t="s">
        <v>695</v>
      </c>
    </row>
    <row r="17" spans="13:23" x14ac:dyDescent="0.35">
      <c r="M17" s="11" t="s">
        <v>642</v>
      </c>
      <c r="N17" s="11" t="s">
        <v>464</v>
      </c>
      <c r="O17" s="11" t="s">
        <v>687</v>
      </c>
      <c r="P17" s="11" t="s">
        <v>378</v>
      </c>
      <c r="Q17" s="11" t="s">
        <v>656</v>
      </c>
      <c r="R17" s="11" t="s">
        <v>957</v>
      </c>
      <c r="S17" s="11" t="s">
        <v>958</v>
      </c>
      <c r="T17" s="11" t="s">
        <v>461</v>
      </c>
      <c r="U17" s="11" t="s">
        <v>654</v>
      </c>
      <c r="V17" s="11" t="s">
        <v>461</v>
      </c>
      <c r="W17" s="26" t="s">
        <v>695</v>
      </c>
    </row>
    <row r="18" spans="13:23" x14ac:dyDescent="0.35">
      <c r="M18" s="11" t="s">
        <v>642</v>
      </c>
      <c r="N18" s="11" t="s">
        <v>625</v>
      </c>
      <c r="O18" s="11" t="s">
        <v>691</v>
      </c>
      <c r="P18" s="11" t="s">
        <v>426</v>
      </c>
      <c r="Q18" s="11" t="s">
        <v>655</v>
      </c>
      <c r="R18" s="11" t="s">
        <v>959</v>
      </c>
      <c r="S18" s="11" t="s">
        <v>960</v>
      </c>
      <c r="T18" s="11" t="s">
        <v>461</v>
      </c>
      <c r="U18" s="11" t="s">
        <v>554</v>
      </c>
      <c r="V18" s="11" t="s">
        <v>461</v>
      </c>
      <c r="W18" s="26" t="s">
        <v>695</v>
      </c>
    </row>
    <row r="19" spans="13:23" x14ac:dyDescent="0.35">
      <c r="M19" s="11" t="s">
        <v>642</v>
      </c>
      <c r="N19" s="11" t="s">
        <v>645</v>
      </c>
      <c r="O19" s="11" t="s">
        <v>663</v>
      </c>
      <c r="P19" s="11" t="s">
        <v>640</v>
      </c>
      <c r="Q19" s="11" t="s">
        <v>657</v>
      </c>
      <c r="R19" s="11" t="s">
        <v>961</v>
      </c>
      <c r="S19" s="11" t="s">
        <v>962</v>
      </c>
      <c r="T19" s="11" t="s">
        <v>461</v>
      </c>
      <c r="U19" s="11" t="s">
        <v>653</v>
      </c>
      <c r="V19" s="11" t="s">
        <v>461</v>
      </c>
      <c r="W19" s="26" t="s">
        <v>695</v>
      </c>
    </row>
    <row r="20" spans="13:23" x14ac:dyDescent="0.35">
      <c r="M20" s="11" t="s">
        <v>642</v>
      </c>
      <c r="N20" s="11" t="s">
        <v>221</v>
      </c>
      <c r="O20" s="11" t="s">
        <v>681</v>
      </c>
      <c r="P20" s="11" t="s">
        <v>357</v>
      </c>
      <c r="Q20" s="11" t="s">
        <v>655</v>
      </c>
      <c r="R20" s="11" t="s">
        <v>963</v>
      </c>
      <c r="S20" s="11" t="s">
        <v>964</v>
      </c>
      <c r="T20" s="11" t="s">
        <v>461</v>
      </c>
      <c r="U20" s="11" t="s">
        <v>554</v>
      </c>
      <c r="V20" s="11" t="s">
        <v>461</v>
      </c>
      <c r="W20" s="26" t="s">
        <v>695</v>
      </c>
    </row>
    <row r="21" spans="13:23" x14ac:dyDescent="0.35">
      <c r="M21" s="11" t="s">
        <v>642</v>
      </c>
      <c r="N21" s="11" t="s">
        <v>223</v>
      </c>
      <c r="O21" s="11" t="s">
        <v>678</v>
      </c>
      <c r="P21" s="11" t="s">
        <v>358</v>
      </c>
      <c r="Q21" s="11" t="s">
        <v>657</v>
      </c>
      <c r="R21" s="11" t="s">
        <v>965</v>
      </c>
      <c r="S21" s="11" t="s">
        <v>966</v>
      </c>
      <c r="T21" s="11" t="s">
        <v>461</v>
      </c>
      <c r="U21" s="11" t="s">
        <v>653</v>
      </c>
      <c r="V21" s="11" t="s">
        <v>461</v>
      </c>
      <c r="W21" s="26" t="s">
        <v>695</v>
      </c>
    </row>
    <row r="22" spans="13:23" x14ac:dyDescent="0.35">
      <c r="M22" s="11" t="s">
        <v>642</v>
      </c>
      <c r="N22" s="11" t="s">
        <v>466</v>
      </c>
      <c r="O22" s="11" t="s">
        <v>692</v>
      </c>
      <c r="P22" s="11" t="s">
        <v>432</v>
      </c>
      <c r="Q22" s="11" t="s">
        <v>655</v>
      </c>
      <c r="R22" s="11" t="s">
        <v>967</v>
      </c>
      <c r="S22" s="11" t="s">
        <v>968</v>
      </c>
      <c r="T22" s="11" t="s">
        <v>461</v>
      </c>
      <c r="U22" s="11" t="s">
        <v>554</v>
      </c>
      <c r="V22" s="11" t="s">
        <v>461</v>
      </c>
      <c r="W22" s="26" t="s">
        <v>695</v>
      </c>
    </row>
    <row r="23" spans="13:23" x14ac:dyDescent="0.35">
      <c r="M23" s="11" t="s">
        <v>642</v>
      </c>
      <c r="N23" s="11" t="s">
        <v>643</v>
      </c>
      <c r="O23" s="11" t="s">
        <v>688</v>
      </c>
      <c r="P23" s="11" t="s">
        <v>379</v>
      </c>
      <c r="Q23" s="11" t="s">
        <v>656</v>
      </c>
      <c r="R23" s="11" t="s">
        <v>969</v>
      </c>
      <c r="S23" s="11" t="s">
        <v>970</v>
      </c>
      <c r="T23" s="11" t="s">
        <v>461</v>
      </c>
      <c r="U23" s="11" t="s">
        <v>654</v>
      </c>
      <c r="V23" s="11" t="s">
        <v>461</v>
      </c>
      <c r="W23" s="26" t="s">
        <v>695</v>
      </c>
    </row>
    <row r="24" spans="13:23" x14ac:dyDescent="0.35">
      <c r="M24" s="11" t="s">
        <v>642</v>
      </c>
      <c r="N24" s="11" t="s">
        <v>226</v>
      </c>
      <c r="O24" s="11" t="s">
        <v>672</v>
      </c>
      <c r="P24" s="11" t="s">
        <v>360</v>
      </c>
      <c r="Q24" s="11" t="s">
        <v>655</v>
      </c>
      <c r="R24" s="11" t="s">
        <v>971</v>
      </c>
      <c r="S24" s="11" t="s">
        <v>972</v>
      </c>
      <c r="T24" s="11" t="s">
        <v>461</v>
      </c>
      <c r="U24" s="11" t="s">
        <v>554</v>
      </c>
      <c r="V24" s="11" t="s">
        <v>461</v>
      </c>
      <c r="W24" s="26" t="s">
        <v>695</v>
      </c>
    </row>
    <row r="25" spans="13:23" x14ac:dyDescent="0.35">
      <c r="M25" s="11" t="s">
        <v>642</v>
      </c>
      <c r="N25" s="11" t="s">
        <v>229</v>
      </c>
      <c r="O25" s="11" t="s">
        <v>677</v>
      </c>
      <c r="P25" s="11" t="s">
        <v>427</v>
      </c>
      <c r="Q25" s="11" t="s">
        <v>657</v>
      </c>
      <c r="R25" s="11" t="s">
        <v>973</v>
      </c>
      <c r="S25" s="11" t="s">
        <v>974</v>
      </c>
      <c r="T25" s="11" t="s">
        <v>461</v>
      </c>
      <c r="U25" s="11" t="s">
        <v>653</v>
      </c>
      <c r="V25" s="11" t="s">
        <v>461</v>
      </c>
      <c r="W25" s="26" t="s">
        <v>695</v>
      </c>
    </row>
    <row r="26" spans="13:23" x14ac:dyDescent="0.35">
      <c r="M26" s="11" t="s">
        <v>642</v>
      </c>
      <c r="N26" s="11" t="s">
        <v>646</v>
      </c>
      <c r="O26" s="11" t="s">
        <v>694</v>
      </c>
      <c r="P26" s="11" t="s">
        <v>355</v>
      </c>
      <c r="Q26" s="11" t="s">
        <v>657</v>
      </c>
      <c r="R26" s="11" t="s">
        <v>975</v>
      </c>
      <c r="S26" s="11" t="s">
        <v>976</v>
      </c>
      <c r="T26" s="11" t="s">
        <v>461</v>
      </c>
      <c r="U26" s="11" t="s">
        <v>653</v>
      </c>
      <c r="V26" s="11" t="s">
        <v>461</v>
      </c>
      <c r="W26" s="26" t="s">
        <v>695</v>
      </c>
    </row>
    <row r="27" spans="13:23" x14ac:dyDescent="0.35">
      <c r="M27" s="11" t="s">
        <v>642</v>
      </c>
      <c r="N27" s="11" t="s">
        <v>647</v>
      </c>
      <c r="O27" s="11" t="s">
        <v>693</v>
      </c>
      <c r="P27" s="11" t="s">
        <v>428</v>
      </c>
      <c r="Q27" s="11" t="s">
        <v>655</v>
      </c>
      <c r="R27" s="11" t="s">
        <v>977</v>
      </c>
      <c r="S27" s="11" t="s">
        <v>978</v>
      </c>
      <c r="T27" s="11" t="s">
        <v>461</v>
      </c>
      <c r="U27" s="11" t="s">
        <v>554</v>
      </c>
      <c r="V27" s="11" t="s">
        <v>461</v>
      </c>
      <c r="W27" s="26" t="s">
        <v>695</v>
      </c>
    </row>
    <row r="28" spans="13:23" x14ac:dyDescent="0.35">
      <c r="M28" s="11" t="s">
        <v>642</v>
      </c>
      <c r="N28" s="11" t="s">
        <v>233</v>
      </c>
      <c r="O28" s="11" t="s">
        <v>660</v>
      </c>
      <c r="P28" s="11" t="s">
        <v>416</v>
      </c>
      <c r="Q28" s="11" t="s">
        <v>656</v>
      </c>
      <c r="R28" s="11" t="s">
        <v>979</v>
      </c>
      <c r="S28" s="11" t="s">
        <v>980</v>
      </c>
      <c r="T28" s="11" t="s">
        <v>461</v>
      </c>
      <c r="U28" s="11" t="s">
        <v>654</v>
      </c>
      <c r="V28" s="11" t="s">
        <v>461</v>
      </c>
      <c r="W28" s="26" t="s">
        <v>695</v>
      </c>
    </row>
    <row r="29" spans="13:23" x14ac:dyDescent="0.35">
      <c r="M29" s="11" t="s">
        <v>642</v>
      </c>
      <c r="N29" s="11" t="s">
        <v>235</v>
      </c>
      <c r="O29" s="11" t="s">
        <v>670</v>
      </c>
      <c r="P29" s="11" t="s">
        <v>435</v>
      </c>
      <c r="Q29" s="11" t="s">
        <v>655</v>
      </c>
      <c r="R29" s="11" t="s">
        <v>981</v>
      </c>
      <c r="S29" s="11" t="s">
        <v>982</v>
      </c>
      <c r="T29" s="11" t="s">
        <v>461</v>
      </c>
      <c r="U29" s="11" t="s">
        <v>554</v>
      </c>
      <c r="V29" s="11" t="s">
        <v>461</v>
      </c>
      <c r="W29" s="26" t="s">
        <v>695</v>
      </c>
    </row>
    <row r="30" spans="13:23" x14ac:dyDescent="0.35">
      <c r="M30" s="11" t="s">
        <v>642</v>
      </c>
      <c r="N30" s="11" t="s">
        <v>465</v>
      </c>
      <c r="O30" s="11" t="s">
        <v>689</v>
      </c>
      <c r="P30" s="11" t="s">
        <v>381</v>
      </c>
      <c r="Q30" s="11" t="s">
        <v>656</v>
      </c>
      <c r="R30" s="11" t="s">
        <v>983</v>
      </c>
      <c r="S30" s="11" t="s">
        <v>984</v>
      </c>
      <c r="T30" s="11" t="s">
        <v>461</v>
      </c>
      <c r="U30" s="11" t="s">
        <v>654</v>
      </c>
      <c r="V30" s="11" t="s">
        <v>461</v>
      </c>
      <c r="W30" s="26" t="s">
        <v>695</v>
      </c>
    </row>
    <row r="31" spans="13:23" x14ac:dyDescent="0.35">
      <c r="M31" s="11" t="s">
        <v>642</v>
      </c>
      <c r="N31" s="11" t="s">
        <v>238</v>
      </c>
      <c r="O31" s="11" t="s">
        <v>665</v>
      </c>
      <c r="P31" s="11" t="s">
        <v>423</v>
      </c>
      <c r="Q31" s="11" t="s">
        <v>655</v>
      </c>
      <c r="R31" s="11" t="s">
        <v>985</v>
      </c>
      <c r="S31" s="11" t="s">
        <v>986</v>
      </c>
      <c r="T31" s="11" t="s">
        <v>461</v>
      </c>
      <c r="U31" s="11" t="s">
        <v>554</v>
      </c>
      <c r="V31" s="11" t="s">
        <v>461</v>
      </c>
      <c r="W31" s="26" t="s">
        <v>695</v>
      </c>
    </row>
    <row r="32" spans="13:23" x14ac:dyDescent="0.35">
      <c r="M32" s="11" t="s">
        <v>642</v>
      </c>
      <c r="N32" s="11" t="s">
        <v>239</v>
      </c>
      <c r="O32" s="11" t="s">
        <v>674</v>
      </c>
      <c r="P32" s="11" t="s">
        <v>424</v>
      </c>
      <c r="Q32" s="11" t="s">
        <v>657</v>
      </c>
      <c r="R32" s="11" t="s">
        <v>987</v>
      </c>
      <c r="S32" s="11" t="s">
        <v>988</v>
      </c>
      <c r="T32" s="11" t="s">
        <v>461</v>
      </c>
      <c r="U32" s="11" t="s">
        <v>653</v>
      </c>
      <c r="V32" s="11" t="s">
        <v>461</v>
      </c>
      <c r="W32" s="26" t="s">
        <v>695</v>
      </c>
    </row>
    <row r="33" spans="13:23" x14ac:dyDescent="0.35">
      <c r="M33" s="11" t="s">
        <v>642</v>
      </c>
      <c r="N33" s="11" t="s">
        <v>241</v>
      </c>
      <c r="O33" s="11" t="s">
        <v>661</v>
      </c>
      <c r="P33" s="11" t="s">
        <v>430</v>
      </c>
      <c r="Q33" s="11" t="s">
        <v>657</v>
      </c>
      <c r="R33" s="11" t="s">
        <v>989</v>
      </c>
      <c r="S33" s="11" t="s">
        <v>990</v>
      </c>
      <c r="T33" s="11" t="s">
        <v>461</v>
      </c>
      <c r="U33" s="11" t="s">
        <v>653</v>
      </c>
      <c r="V33" s="11" t="s">
        <v>461</v>
      </c>
      <c r="W33" s="26" t="s">
        <v>695</v>
      </c>
    </row>
    <row r="34" spans="13:23" x14ac:dyDescent="0.35">
      <c r="M34" s="11" t="s">
        <v>642</v>
      </c>
      <c r="N34" s="11" t="s">
        <v>243</v>
      </c>
      <c r="O34" s="11" t="s">
        <v>684</v>
      </c>
      <c r="P34" s="11" t="s">
        <v>421</v>
      </c>
      <c r="Q34" s="11" t="s">
        <v>655</v>
      </c>
      <c r="R34" s="11" t="s">
        <v>991</v>
      </c>
      <c r="S34" s="11" t="s">
        <v>992</v>
      </c>
      <c r="T34" s="11" t="s">
        <v>461</v>
      </c>
      <c r="U34" s="11" t="s">
        <v>554</v>
      </c>
      <c r="V34" s="11" t="s">
        <v>461</v>
      </c>
      <c r="W34" s="26" t="s">
        <v>695</v>
      </c>
    </row>
    <row r="35" spans="13:23" x14ac:dyDescent="0.35">
      <c r="M35" s="11" t="s">
        <v>642</v>
      </c>
      <c r="N35" s="11" t="s">
        <v>245</v>
      </c>
      <c r="O35" s="11" t="s">
        <v>668</v>
      </c>
      <c r="P35" s="11" t="s">
        <v>429</v>
      </c>
      <c r="Q35" s="11" t="s">
        <v>657</v>
      </c>
      <c r="R35" s="11" t="s">
        <v>993</v>
      </c>
      <c r="S35" s="11" t="s">
        <v>994</v>
      </c>
      <c r="T35" s="11" t="s">
        <v>461</v>
      </c>
      <c r="U35" s="11" t="s">
        <v>653</v>
      </c>
      <c r="V35" s="11" t="s">
        <v>461</v>
      </c>
      <c r="W35" s="26" t="s">
        <v>695</v>
      </c>
    </row>
    <row r="36" spans="13:23" x14ac:dyDescent="0.35">
      <c r="M36" s="11" t="s">
        <v>642</v>
      </c>
      <c r="N36" s="11" t="s">
        <v>248</v>
      </c>
      <c r="O36" s="11" t="s">
        <v>683</v>
      </c>
      <c r="P36" s="11" t="s">
        <v>433</v>
      </c>
      <c r="Q36" s="11" t="s">
        <v>656</v>
      </c>
      <c r="R36" s="11" t="s">
        <v>995</v>
      </c>
      <c r="S36" s="11" t="s">
        <v>996</v>
      </c>
      <c r="T36" s="11" t="s">
        <v>461</v>
      </c>
      <c r="U36" s="11" t="s">
        <v>654</v>
      </c>
      <c r="V36" s="11" t="s">
        <v>461</v>
      </c>
      <c r="W36" s="26" t="s">
        <v>695</v>
      </c>
    </row>
    <row r="37" spans="13:23" x14ac:dyDescent="0.35">
      <c r="M37" s="11" t="s">
        <v>642</v>
      </c>
      <c r="N37" s="11" t="s">
        <v>252</v>
      </c>
      <c r="O37" s="11" t="s">
        <v>662</v>
      </c>
      <c r="P37" s="11" t="s">
        <v>353</v>
      </c>
      <c r="Q37" s="11" t="s">
        <v>655</v>
      </c>
      <c r="R37" s="11" t="s">
        <v>997</v>
      </c>
      <c r="S37" s="11" t="s">
        <v>998</v>
      </c>
      <c r="T37" s="11" t="s">
        <v>461</v>
      </c>
      <c r="U37" s="11" t="s">
        <v>554</v>
      </c>
      <c r="V37" s="11" t="s">
        <v>461</v>
      </c>
      <c r="W37" s="26" t="s">
        <v>695</v>
      </c>
    </row>
    <row r="38" spans="13:23" x14ac:dyDescent="0.35">
      <c r="M38" s="11" t="s">
        <v>642</v>
      </c>
      <c r="N38" s="11" t="s">
        <v>253</v>
      </c>
      <c r="O38" s="11" t="s">
        <v>673</v>
      </c>
      <c r="P38" s="11" t="s">
        <v>434</v>
      </c>
      <c r="Q38" s="11" t="s">
        <v>657</v>
      </c>
      <c r="R38" s="11" t="s">
        <v>999</v>
      </c>
      <c r="S38" s="11" t="s">
        <v>1000</v>
      </c>
      <c r="T38" s="11" t="s">
        <v>461</v>
      </c>
      <c r="U38" s="11" t="s">
        <v>653</v>
      </c>
      <c r="V38" s="11" t="s">
        <v>461</v>
      </c>
      <c r="W38" s="26" t="s">
        <v>695</v>
      </c>
    </row>
    <row r="39" spans="13:23" x14ac:dyDescent="0.35">
      <c r="M39" s="11" t="s">
        <v>704</v>
      </c>
      <c r="N39" s="11" t="s">
        <v>485</v>
      </c>
      <c r="O39" s="11" t="s">
        <v>485</v>
      </c>
      <c r="P39" s="11" t="s">
        <v>502</v>
      </c>
      <c r="Q39" s="11" t="s">
        <v>555</v>
      </c>
      <c r="R39" s="11" t="s">
        <v>556</v>
      </c>
      <c r="S39" s="11" t="s">
        <v>557</v>
      </c>
      <c r="T39" s="11" t="s">
        <v>461</v>
      </c>
      <c r="U39" s="11" t="s">
        <v>461</v>
      </c>
      <c r="V39" s="11" t="s">
        <v>461</v>
      </c>
      <c r="W39" s="26" t="s">
        <v>695</v>
      </c>
    </row>
    <row r="40" spans="13:23" x14ac:dyDescent="0.35">
      <c r="M40" s="11" t="s">
        <v>704</v>
      </c>
      <c r="N40" s="11" t="s">
        <v>485</v>
      </c>
      <c r="O40" s="11" t="s">
        <v>485</v>
      </c>
      <c r="P40" s="11" t="s">
        <v>486</v>
      </c>
      <c r="Q40" s="11" t="s">
        <v>555</v>
      </c>
      <c r="R40" s="11" t="s">
        <v>556</v>
      </c>
      <c r="S40" s="11" t="s">
        <v>558</v>
      </c>
      <c r="T40" s="11" t="s">
        <v>461</v>
      </c>
      <c r="U40" s="11" t="s">
        <v>461</v>
      </c>
      <c r="V40" s="11" t="s">
        <v>461</v>
      </c>
      <c r="W40" s="26" t="s">
        <v>695</v>
      </c>
    </row>
    <row r="41" spans="13:23" x14ac:dyDescent="0.35">
      <c r="M41" s="11" t="s">
        <v>704</v>
      </c>
      <c r="N41" s="11" t="s">
        <v>485</v>
      </c>
      <c r="O41" s="11" t="s">
        <v>485</v>
      </c>
      <c r="P41" s="11" t="s">
        <v>519</v>
      </c>
      <c r="Q41" s="11" t="s">
        <v>555</v>
      </c>
      <c r="R41" s="11" t="s">
        <v>556</v>
      </c>
      <c r="S41" s="11" t="s">
        <v>559</v>
      </c>
      <c r="T41" s="11" t="s">
        <v>461</v>
      </c>
      <c r="U41" s="11" t="s">
        <v>461</v>
      </c>
      <c r="V41" s="11" t="s">
        <v>461</v>
      </c>
      <c r="W41" s="26" t="s">
        <v>695</v>
      </c>
    </row>
    <row r="42" spans="13:23" x14ac:dyDescent="0.35">
      <c r="M42" s="11" t="s">
        <v>704</v>
      </c>
      <c r="N42" s="11" t="s">
        <v>468</v>
      </c>
      <c r="O42" s="11" t="s">
        <v>468</v>
      </c>
      <c r="P42" s="11" t="s">
        <v>469</v>
      </c>
      <c r="Q42" s="11" t="s">
        <v>555</v>
      </c>
      <c r="R42" s="11" t="s">
        <v>556</v>
      </c>
      <c r="S42" s="11" t="s">
        <v>560</v>
      </c>
      <c r="T42" s="11" t="s">
        <v>461</v>
      </c>
      <c r="U42" s="11" t="s">
        <v>461</v>
      </c>
      <c r="V42" s="11" t="s">
        <v>461</v>
      </c>
      <c r="W42" s="26" t="s">
        <v>695</v>
      </c>
    </row>
    <row r="43" spans="13:23" x14ac:dyDescent="0.35">
      <c r="M43" s="11" t="s">
        <v>704</v>
      </c>
      <c r="N43" s="11" t="s">
        <v>468</v>
      </c>
      <c r="O43" s="11" t="s">
        <v>468</v>
      </c>
      <c r="P43" s="11" t="s">
        <v>517</v>
      </c>
      <c r="Q43" s="11" t="s">
        <v>555</v>
      </c>
      <c r="R43" s="11" t="s">
        <v>556</v>
      </c>
      <c r="S43" s="11" t="s">
        <v>561</v>
      </c>
      <c r="T43" s="11" t="s">
        <v>461</v>
      </c>
      <c r="U43" s="11" t="s">
        <v>461</v>
      </c>
      <c r="V43" s="11" t="s">
        <v>461</v>
      </c>
      <c r="W43" s="26" t="s">
        <v>695</v>
      </c>
    </row>
    <row r="44" spans="13:23" x14ac:dyDescent="0.35">
      <c r="M44" s="11" t="s">
        <v>704</v>
      </c>
      <c r="N44" s="11" t="s">
        <v>468</v>
      </c>
      <c r="O44" s="11" t="s">
        <v>468</v>
      </c>
      <c r="P44" s="11" t="s">
        <v>535</v>
      </c>
      <c r="Q44" s="11" t="s">
        <v>555</v>
      </c>
      <c r="R44" s="11" t="s">
        <v>556</v>
      </c>
      <c r="S44" s="11" t="s">
        <v>562</v>
      </c>
      <c r="T44" s="11" t="s">
        <v>461</v>
      </c>
      <c r="U44" s="11" t="s">
        <v>461</v>
      </c>
      <c r="V44" s="11" t="s">
        <v>461</v>
      </c>
      <c r="W44" s="26" t="s">
        <v>695</v>
      </c>
    </row>
    <row r="45" spans="13:23" x14ac:dyDescent="0.35">
      <c r="M45" s="11" t="s">
        <v>704</v>
      </c>
      <c r="N45" s="11" t="s">
        <v>468</v>
      </c>
      <c r="O45" s="11" t="s">
        <v>468</v>
      </c>
      <c r="P45" s="11" t="s">
        <v>530</v>
      </c>
      <c r="Q45" s="11" t="s">
        <v>555</v>
      </c>
      <c r="R45" s="11" t="s">
        <v>556</v>
      </c>
      <c r="S45" s="11" t="s">
        <v>563</v>
      </c>
      <c r="T45" s="11" t="s">
        <v>461</v>
      </c>
      <c r="U45" s="11" t="s">
        <v>461</v>
      </c>
      <c r="V45" s="11" t="s">
        <v>461</v>
      </c>
      <c r="W45" s="26" t="s">
        <v>695</v>
      </c>
    </row>
    <row r="46" spans="13:23" x14ac:dyDescent="0.35">
      <c r="M46" s="11" t="s">
        <v>704</v>
      </c>
      <c r="N46" s="11" t="s">
        <v>468</v>
      </c>
      <c r="O46" s="11" t="s">
        <v>468</v>
      </c>
      <c r="P46" s="11" t="s">
        <v>524</v>
      </c>
      <c r="Q46" s="11" t="s">
        <v>555</v>
      </c>
      <c r="R46" s="11" t="s">
        <v>556</v>
      </c>
      <c r="S46" s="11" t="s">
        <v>564</v>
      </c>
      <c r="T46" s="11" t="s">
        <v>461</v>
      </c>
      <c r="U46" s="11" t="s">
        <v>461</v>
      </c>
      <c r="V46" s="11" t="s">
        <v>461</v>
      </c>
      <c r="W46" s="26" t="s">
        <v>695</v>
      </c>
    </row>
    <row r="47" spans="13:23" x14ac:dyDescent="0.35">
      <c r="M47" s="11" t="s">
        <v>704</v>
      </c>
      <c r="N47" s="11" t="s">
        <v>468</v>
      </c>
      <c r="O47" s="11" t="s">
        <v>468</v>
      </c>
      <c r="P47" s="11" t="s">
        <v>537</v>
      </c>
      <c r="Q47" s="11" t="s">
        <v>555</v>
      </c>
      <c r="R47" s="11" t="s">
        <v>556</v>
      </c>
      <c r="S47" s="11" t="s">
        <v>565</v>
      </c>
      <c r="T47" s="11" t="s">
        <v>461</v>
      </c>
      <c r="U47" s="11" t="s">
        <v>461</v>
      </c>
      <c r="V47" s="11" t="s">
        <v>461</v>
      </c>
      <c r="W47" s="26" t="s">
        <v>695</v>
      </c>
    </row>
    <row r="48" spans="13:23" x14ac:dyDescent="0.35">
      <c r="M48" s="11" t="s">
        <v>704</v>
      </c>
      <c r="N48" s="11" t="s">
        <v>468</v>
      </c>
      <c r="O48" s="11" t="s">
        <v>468</v>
      </c>
      <c r="P48" s="11" t="s">
        <v>472</v>
      </c>
      <c r="Q48" s="11" t="s">
        <v>555</v>
      </c>
      <c r="R48" s="11" t="s">
        <v>556</v>
      </c>
      <c r="S48" s="11" t="s">
        <v>566</v>
      </c>
      <c r="T48" s="11" t="s">
        <v>461</v>
      </c>
      <c r="U48" s="11" t="s">
        <v>461</v>
      </c>
      <c r="V48" s="11" t="s">
        <v>461</v>
      </c>
      <c r="W48" s="26" t="s">
        <v>695</v>
      </c>
    </row>
    <row r="49" spans="13:23" x14ac:dyDescent="0.35">
      <c r="M49" s="11" t="s">
        <v>704</v>
      </c>
      <c r="N49" s="11" t="s">
        <v>520</v>
      </c>
      <c r="O49" s="11" t="s">
        <v>520</v>
      </c>
      <c r="P49" s="11" t="s">
        <v>521</v>
      </c>
      <c r="Q49" s="11" t="s">
        <v>555</v>
      </c>
      <c r="R49" s="11" t="s">
        <v>556</v>
      </c>
      <c r="S49" s="11" t="s">
        <v>567</v>
      </c>
      <c r="T49" s="11" t="s">
        <v>461</v>
      </c>
      <c r="U49" s="11" t="s">
        <v>461</v>
      </c>
      <c r="V49" s="11" t="s">
        <v>461</v>
      </c>
      <c r="W49" s="26" t="s">
        <v>695</v>
      </c>
    </row>
    <row r="50" spans="13:23" x14ac:dyDescent="0.35">
      <c r="M50" s="11" t="s">
        <v>704</v>
      </c>
      <c r="N50" s="11" t="s">
        <v>507</v>
      </c>
      <c r="O50" s="11" t="s">
        <v>507</v>
      </c>
      <c r="P50" s="11" t="s">
        <v>508</v>
      </c>
      <c r="Q50" s="11" t="s">
        <v>555</v>
      </c>
      <c r="R50" s="11" t="s">
        <v>556</v>
      </c>
      <c r="S50" s="11" t="s">
        <v>568</v>
      </c>
      <c r="T50" s="11" t="s">
        <v>461</v>
      </c>
      <c r="U50" s="11" t="s">
        <v>461</v>
      </c>
      <c r="V50" s="11" t="s">
        <v>461</v>
      </c>
      <c r="W50" s="26" t="s">
        <v>695</v>
      </c>
    </row>
    <row r="51" spans="13:23" x14ac:dyDescent="0.35">
      <c r="M51" s="11" t="s">
        <v>704</v>
      </c>
      <c r="N51" s="11" t="s">
        <v>499</v>
      </c>
      <c r="O51" s="11" t="s">
        <v>499</v>
      </c>
      <c r="P51" s="11" t="s">
        <v>553</v>
      </c>
      <c r="Q51" s="11" t="s">
        <v>555</v>
      </c>
      <c r="R51" s="11" t="s">
        <v>556</v>
      </c>
      <c r="S51" s="11" t="s">
        <v>569</v>
      </c>
      <c r="T51" s="11" t="s">
        <v>461</v>
      </c>
      <c r="U51" s="11" t="s">
        <v>461</v>
      </c>
      <c r="V51" s="11" t="s">
        <v>461</v>
      </c>
      <c r="W51" s="26" t="s">
        <v>695</v>
      </c>
    </row>
    <row r="52" spans="13:23" x14ac:dyDescent="0.35">
      <c r="M52" s="11" t="s">
        <v>704</v>
      </c>
      <c r="N52" s="11" t="s">
        <v>473</v>
      </c>
      <c r="O52" s="11" t="s">
        <v>473</v>
      </c>
      <c r="P52" s="11" t="s">
        <v>514</v>
      </c>
      <c r="Q52" s="11" t="s">
        <v>555</v>
      </c>
      <c r="R52" s="11" t="s">
        <v>556</v>
      </c>
      <c r="S52" s="11" t="s">
        <v>570</v>
      </c>
      <c r="T52" s="11" t="s">
        <v>461</v>
      </c>
      <c r="U52" s="11" t="s">
        <v>461</v>
      </c>
      <c r="V52" s="11" t="s">
        <v>461</v>
      </c>
      <c r="W52" s="26" t="s">
        <v>695</v>
      </c>
    </row>
    <row r="53" spans="13:23" x14ac:dyDescent="0.35">
      <c r="M53" s="11" t="s">
        <v>704</v>
      </c>
      <c r="N53" s="11" t="s">
        <v>473</v>
      </c>
      <c r="O53" s="11" t="s">
        <v>473</v>
      </c>
      <c r="P53" s="11" t="s">
        <v>474</v>
      </c>
      <c r="Q53" s="11" t="s">
        <v>555</v>
      </c>
      <c r="R53" s="11" t="s">
        <v>556</v>
      </c>
      <c r="S53" s="11" t="s">
        <v>571</v>
      </c>
      <c r="T53" s="11" t="s">
        <v>461</v>
      </c>
      <c r="U53" s="11" t="s">
        <v>461</v>
      </c>
      <c r="V53" s="11" t="s">
        <v>461</v>
      </c>
      <c r="W53" s="26" t="s">
        <v>695</v>
      </c>
    </row>
    <row r="54" spans="13:23" x14ac:dyDescent="0.35">
      <c r="M54" s="11" t="s">
        <v>704</v>
      </c>
      <c r="N54" s="11" t="s">
        <v>532</v>
      </c>
      <c r="O54" s="11" t="s">
        <v>532</v>
      </c>
      <c r="P54" s="11" t="s">
        <v>533</v>
      </c>
      <c r="Q54" s="11" t="s">
        <v>555</v>
      </c>
      <c r="R54" s="11" t="s">
        <v>556</v>
      </c>
      <c r="S54" s="11" t="s">
        <v>572</v>
      </c>
      <c r="T54" s="11" t="s">
        <v>461</v>
      </c>
      <c r="U54" s="11" t="s">
        <v>461</v>
      </c>
      <c r="V54" s="11" t="s">
        <v>461</v>
      </c>
      <c r="W54" s="26" t="s">
        <v>695</v>
      </c>
    </row>
    <row r="55" spans="13:23" x14ac:dyDescent="0.35">
      <c r="M55" s="11" t="s">
        <v>704</v>
      </c>
      <c r="N55" s="11" t="s">
        <v>510</v>
      </c>
      <c r="O55" s="11" t="s">
        <v>510</v>
      </c>
      <c r="P55" s="11" t="s">
        <v>511</v>
      </c>
      <c r="Q55" s="11" t="s">
        <v>555</v>
      </c>
      <c r="R55" s="11" t="s">
        <v>556</v>
      </c>
      <c r="S55" s="11" t="s">
        <v>573</v>
      </c>
      <c r="T55" s="11" t="s">
        <v>461</v>
      </c>
      <c r="U55" s="11" t="s">
        <v>461</v>
      </c>
      <c r="V55" s="11" t="s">
        <v>461</v>
      </c>
      <c r="W55" s="26" t="s">
        <v>695</v>
      </c>
    </row>
    <row r="56" spans="13:23" x14ac:dyDescent="0.35">
      <c r="M56" s="11" t="s">
        <v>704</v>
      </c>
      <c r="N56" s="11" t="s">
        <v>492</v>
      </c>
      <c r="O56" s="11" t="s">
        <v>492</v>
      </c>
      <c r="P56" s="11" t="s">
        <v>529</v>
      </c>
      <c r="Q56" s="11" t="s">
        <v>555</v>
      </c>
      <c r="R56" s="11" t="s">
        <v>556</v>
      </c>
      <c r="S56" s="11" t="s">
        <v>574</v>
      </c>
      <c r="T56" s="11" t="s">
        <v>461</v>
      </c>
      <c r="U56" s="11" t="s">
        <v>461</v>
      </c>
      <c r="V56" s="11" t="s">
        <v>461</v>
      </c>
      <c r="W56" s="26" t="s">
        <v>695</v>
      </c>
    </row>
    <row r="57" spans="13:23" x14ac:dyDescent="0.35">
      <c r="M57" s="11" t="s">
        <v>704</v>
      </c>
      <c r="N57" s="11" t="s">
        <v>492</v>
      </c>
      <c r="O57" s="11" t="s">
        <v>492</v>
      </c>
      <c r="P57" s="11" t="s">
        <v>493</v>
      </c>
      <c r="Q57" s="11" t="s">
        <v>555</v>
      </c>
      <c r="R57" s="11" t="s">
        <v>556</v>
      </c>
      <c r="S57" s="11" t="s">
        <v>575</v>
      </c>
      <c r="T57" s="11" t="s">
        <v>461</v>
      </c>
      <c r="U57" s="11" t="s">
        <v>461</v>
      </c>
      <c r="V57" s="11" t="s">
        <v>461</v>
      </c>
      <c r="W57" s="26" t="s">
        <v>695</v>
      </c>
    </row>
    <row r="58" spans="13:23" x14ac:dyDescent="0.35">
      <c r="M58" s="11" t="s">
        <v>704</v>
      </c>
      <c r="N58" s="11" t="s">
        <v>492</v>
      </c>
      <c r="O58" s="11" t="s">
        <v>492</v>
      </c>
      <c r="P58" s="11" t="s">
        <v>551</v>
      </c>
      <c r="Q58" s="11" t="s">
        <v>555</v>
      </c>
      <c r="R58" s="11" t="s">
        <v>556</v>
      </c>
      <c r="S58" s="11" t="s">
        <v>576</v>
      </c>
      <c r="T58" s="11" t="s">
        <v>461</v>
      </c>
      <c r="U58" s="11" t="s">
        <v>461</v>
      </c>
      <c r="V58" s="11" t="s">
        <v>461</v>
      </c>
      <c r="W58" s="26" t="s">
        <v>695</v>
      </c>
    </row>
    <row r="59" spans="13:23" x14ac:dyDescent="0.35">
      <c r="M59" s="11" t="s">
        <v>704</v>
      </c>
      <c r="N59" s="11" t="s">
        <v>492</v>
      </c>
      <c r="O59" s="11" t="s">
        <v>492</v>
      </c>
      <c r="P59" s="11" t="s">
        <v>536</v>
      </c>
      <c r="Q59" s="11" t="s">
        <v>555</v>
      </c>
      <c r="R59" s="11" t="s">
        <v>556</v>
      </c>
      <c r="S59" s="11" t="s">
        <v>577</v>
      </c>
      <c r="T59" s="11" t="s">
        <v>461</v>
      </c>
      <c r="U59" s="11" t="s">
        <v>461</v>
      </c>
      <c r="V59" s="11" t="s">
        <v>461</v>
      </c>
      <c r="W59" s="26" t="s">
        <v>695</v>
      </c>
    </row>
    <row r="60" spans="13:23" x14ac:dyDescent="0.35">
      <c r="M60" s="11" t="s">
        <v>704</v>
      </c>
      <c r="N60" s="11" t="s">
        <v>481</v>
      </c>
      <c r="O60" s="11" t="s">
        <v>481</v>
      </c>
      <c r="P60" s="11" t="s">
        <v>549</v>
      </c>
      <c r="Q60" s="11" t="s">
        <v>555</v>
      </c>
      <c r="R60" s="11" t="s">
        <v>556</v>
      </c>
      <c r="S60" s="11" t="s">
        <v>578</v>
      </c>
      <c r="T60" s="11" t="s">
        <v>461</v>
      </c>
      <c r="U60" s="11" t="s">
        <v>461</v>
      </c>
      <c r="V60" s="11" t="s">
        <v>461</v>
      </c>
      <c r="W60" s="26" t="s">
        <v>695</v>
      </c>
    </row>
    <row r="61" spans="13:23" x14ac:dyDescent="0.35">
      <c r="M61" s="11" t="s">
        <v>704</v>
      </c>
      <c r="N61" s="11" t="s">
        <v>481</v>
      </c>
      <c r="O61" s="11" t="s">
        <v>481</v>
      </c>
      <c r="P61" s="11" t="s">
        <v>550</v>
      </c>
      <c r="Q61" s="11" t="s">
        <v>555</v>
      </c>
      <c r="R61" s="11" t="s">
        <v>556</v>
      </c>
      <c r="S61" s="11" t="s">
        <v>579</v>
      </c>
      <c r="T61" s="11" t="s">
        <v>461</v>
      </c>
      <c r="U61" s="11" t="s">
        <v>461</v>
      </c>
      <c r="V61" s="11" t="s">
        <v>461</v>
      </c>
      <c r="W61" s="26" t="s">
        <v>695</v>
      </c>
    </row>
    <row r="62" spans="13:23" x14ac:dyDescent="0.35">
      <c r="M62" s="11" t="s">
        <v>704</v>
      </c>
      <c r="N62" s="11" t="s">
        <v>481</v>
      </c>
      <c r="O62" s="11" t="s">
        <v>481</v>
      </c>
      <c r="P62" s="11" t="s">
        <v>506</v>
      </c>
      <c r="Q62" s="11" t="s">
        <v>555</v>
      </c>
      <c r="R62" s="11" t="s">
        <v>556</v>
      </c>
      <c r="S62" s="11" t="s">
        <v>580</v>
      </c>
      <c r="T62" s="11" t="s">
        <v>461</v>
      </c>
      <c r="U62" s="11" t="s">
        <v>461</v>
      </c>
      <c r="V62" s="11" t="s">
        <v>461</v>
      </c>
      <c r="W62" s="26" t="s">
        <v>695</v>
      </c>
    </row>
    <row r="63" spans="13:23" x14ac:dyDescent="0.35">
      <c r="M63" s="11" t="s">
        <v>704</v>
      </c>
      <c r="N63" s="11" t="s">
        <v>481</v>
      </c>
      <c r="O63" s="11" t="s">
        <v>481</v>
      </c>
      <c r="P63" s="11" t="s">
        <v>526</v>
      </c>
      <c r="Q63" s="11" t="s">
        <v>555</v>
      </c>
      <c r="R63" s="11" t="s">
        <v>556</v>
      </c>
      <c r="S63" s="11" t="s">
        <v>581</v>
      </c>
      <c r="T63" s="11" t="s">
        <v>461</v>
      </c>
      <c r="U63" s="11" t="s">
        <v>461</v>
      </c>
      <c r="V63" s="11" t="s">
        <v>461</v>
      </c>
      <c r="W63" s="26" t="s">
        <v>695</v>
      </c>
    </row>
    <row r="64" spans="13:23" x14ac:dyDescent="0.35">
      <c r="M64" s="11" t="s">
        <v>704</v>
      </c>
      <c r="N64" s="11" t="s">
        <v>481</v>
      </c>
      <c r="O64" s="11" t="s">
        <v>481</v>
      </c>
      <c r="P64" s="11" t="s">
        <v>482</v>
      </c>
      <c r="Q64" s="11" t="s">
        <v>555</v>
      </c>
      <c r="R64" s="11" t="s">
        <v>556</v>
      </c>
      <c r="S64" s="11" t="s">
        <v>582</v>
      </c>
      <c r="T64" s="11" t="s">
        <v>461</v>
      </c>
      <c r="U64" s="11" t="s">
        <v>461</v>
      </c>
      <c r="V64" s="11" t="s">
        <v>461</v>
      </c>
      <c r="W64" s="26" t="s">
        <v>695</v>
      </c>
    </row>
    <row r="65" spans="13:23" x14ac:dyDescent="0.35">
      <c r="M65" s="11" t="s">
        <v>704</v>
      </c>
      <c r="N65" s="11" t="s">
        <v>515</v>
      </c>
      <c r="O65" s="11" t="s">
        <v>515</v>
      </c>
      <c r="P65" s="11" t="s">
        <v>516</v>
      </c>
      <c r="Q65" s="11" t="s">
        <v>555</v>
      </c>
      <c r="R65" s="11" t="s">
        <v>556</v>
      </c>
      <c r="S65" s="11" t="s">
        <v>583</v>
      </c>
      <c r="T65" s="11" t="s">
        <v>461</v>
      </c>
      <c r="U65" s="11" t="s">
        <v>461</v>
      </c>
      <c r="V65" s="11" t="s">
        <v>461</v>
      </c>
      <c r="W65" s="26" t="s">
        <v>695</v>
      </c>
    </row>
    <row r="66" spans="13:23" x14ac:dyDescent="0.35">
      <c r="M66" s="11" t="s">
        <v>704</v>
      </c>
      <c r="N66" s="11" t="s">
        <v>515</v>
      </c>
      <c r="O66" s="11" t="s">
        <v>515</v>
      </c>
      <c r="P66" s="11" t="s">
        <v>544</v>
      </c>
      <c r="Q66" s="11" t="s">
        <v>555</v>
      </c>
      <c r="R66" s="11" t="s">
        <v>556</v>
      </c>
      <c r="S66" s="11" t="s">
        <v>584</v>
      </c>
      <c r="T66" s="11" t="s">
        <v>461</v>
      </c>
      <c r="U66" s="11" t="s">
        <v>461</v>
      </c>
      <c r="V66" s="11" t="s">
        <v>461</v>
      </c>
      <c r="W66" s="26" t="s">
        <v>695</v>
      </c>
    </row>
    <row r="67" spans="13:23" x14ac:dyDescent="0.35">
      <c r="M67" s="11" t="s">
        <v>704</v>
      </c>
      <c r="N67" s="11" t="s">
        <v>495</v>
      </c>
      <c r="O67" s="11" t="s">
        <v>495</v>
      </c>
      <c r="P67" s="11" t="s">
        <v>496</v>
      </c>
      <c r="Q67" s="11" t="s">
        <v>555</v>
      </c>
      <c r="R67" s="11" t="s">
        <v>556</v>
      </c>
      <c r="S67" s="11" t="s">
        <v>585</v>
      </c>
      <c r="T67" s="11" t="s">
        <v>461</v>
      </c>
      <c r="U67" s="11" t="s">
        <v>461</v>
      </c>
      <c r="V67" s="11" t="s">
        <v>461</v>
      </c>
      <c r="W67" s="26" t="s">
        <v>695</v>
      </c>
    </row>
    <row r="68" spans="13:23" x14ac:dyDescent="0.35">
      <c r="M68" s="11" t="s">
        <v>704</v>
      </c>
      <c r="N68" s="11" t="s">
        <v>475</v>
      </c>
      <c r="O68" s="11" t="s">
        <v>475</v>
      </c>
      <c r="P68" s="11" t="s">
        <v>487</v>
      </c>
      <c r="Q68" s="11" t="s">
        <v>555</v>
      </c>
      <c r="R68" s="11" t="s">
        <v>556</v>
      </c>
      <c r="S68" s="11" t="s">
        <v>586</v>
      </c>
      <c r="T68" s="11" t="s">
        <v>461</v>
      </c>
      <c r="U68" s="11" t="s">
        <v>461</v>
      </c>
      <c r="V68" s="11" t="s">
        <v>461</v>
      </c>
      <c r="W68" s="26" t="s">
        <v>695</v>
      </c>
    </row>
    <row r="69" spans="13:23" x14ac:dyDescent="0.35">
      <c r="M69" s="11" t="s">
        <v>704</v>
      </c>
      <c r="N69" s="11" t="s">
        <v>475</v>
      </c>
      <c r="O69" s="11" t="s">
        <v>475</v>
      </c>
      <c r="P69" s="11" t="s">
        <v>531</v>
      </c>
      <c r="Q69" s="11" t="s">
        <v>555</v>
      </c>
      <c r="R69" s="11" t="s">
        <v>556</v>
      </c>
      <c r="S69" s="11" t="s">
        <v>587</v>
      </c>
      <c r="T69" s="11" t="s">
        <v>461</v>
      </c>
      <c r="U69" s="11" t="s">
        <v>461</v>
      </c>
      <c r="V69" s="11" t="s">
        <v>461</v>
      </c>
      <c r="W69" s="26" t="s">
        <v>695</v>
      </c>
    </row>
    <row r="70" spans="13:23" x14ac:dyDescent="0.35">
      <c r="M70" s="11" t="s">
        <v>704</v>
      </c>
      <c r="N70" s="11" t="s">
        <v>475</v>
      </c>
      <c r="O70" s="11" t="s">
        <v>475</v>
      </c>
      <c r="P70" s="11" t="s">
        <v>494</v>
      </c>
      <c r="Q70" s="11" t="s">
        <v>555</v>
      </c>
      <c r="R70" s="11" t="s">
        <v>556</v>
      </c>
      <c r="S70" s="11" t="s">
        <v>588</v>
      </c>
      <c r="T70" s="11" t="s">
        <v>461</v>
      </c>
      <c r="U70" s="11" t="s">
        <v>461</v>
      </c>
      <c r="V70" s="11" t="s">
        <v>461</v>
      </c>
      <c r="W70" s="26" t="s">
        <v>695</v>
      </c>
    </row>
    <row r="71" spans="13:23" x14ac:dyDescent="0.35">
      <c r="M71" s="11" t="s">
        <v>704</v>
      </c>
      <c r="N71" s="11" t="s">
        <v>475</v>
      </c>
      <c r="O71" s="11" t="s">
        <v>475</v>
      </c>
      <c r="P71" s="11" t="s">
        <v>528</v>
      </c>
      <c r="Q71" s="11" t="s">
        <v>555</v>
      </c>
      <c r="R71" s="11" t="s">
        <v>556</v>
      </c>
      <c r="S71" s="11" t="s">
        <v>589</v>
      </c>
      <c r="T71" s="11" t="s">
        <v>461</v>
      </c>
      <c r="U71" s="11" t="s">
        <v>461</v>
      </c>
      <c r="V71" s="11" t="s">
        <v>461</v>
      </c>
      <c r="W71" s="26" t="s">
        <v>695</v>
      </c>
    </row>
    <row r="72" spans="13:23" x14ac:dyDescent="0.35">
      <c r="M72" s="11" t="s">
        <v>704</v>
      </c>
      <c r="N72" s="11" t="s">
        <v>475</v>
      </c>
      <c r="O72" s="11" t="s">
        <v>475</v>
      </c>
      <c r="P72" s="11" t="s">
        <v>541</v>
      </c>
      <c r="Q72" s="11" t="s">
        <v>555</v>
      </c>
      <c r="R72" s="11" t="s">
        <v>556</v>
      </c>
      <c r="S72" s="11" t="s">
        <v>590</v>
      </c>
      <c r="T72" s="11" t="s">
        <v>461</v>
      </c>
      <c r="U72" s="11" t="s">
        <v>461</v>
      </c>
      <c r="V72" s="11" t="s">
        <v>461</v>
      </c>
      <c r="W72" s="26" t="s">
        <v>695</v>
      </c>
    </row>
    <row r="73" spans="13:23" x14ac:dyDescent="0.35">
      <c r="M73" s="11" t="s">
        <v>704</v>
      </c>
      <c r="N73" s="11" t="s">
        <v>475</v>
      </c>
      <c r="O73" s="11" t="s">
        <v>475</v>
      </c>
      <c r="P73" s="11" t="s">
        <v>476</v>
      </c>
      <c r="Q73" s="11" t="s">
        <v>555</v>
      </c>
      <c r="R73" s="11" t="s">
        <v>556</v>
      </c>
      <c r="S73" s="11" t="s">
        <v>591</v>
      </c>
      <c r="T73" s="11" t="s">
        <v>461</v>
      </c>
      <c r="U73" s="11" t="s">
        <v>461</v>
      </c>
      <c r="V73" s="11" t="s">
        <v>461</v>
      </c>
      <c r="W73" s="26" t="s">
        <v>695</v>
      </c>
    </row>
    <row r="74" spans="13:23" x14ac:dyDescent="0.35">
      <c r="M74" s="11" t="s">
        <v>704</v>
      </c>
      <c r="N74" s="11" t="s">
        <v>479</v>
      </c>
      <c r="O74" s="11" t="s">
        <v>479</v>
      </c>
      <c r="P74" s="11" t="s">
        <v>523</v>
      </c>
      <c r="Q74" s="11" t="s">
        <v>555</v>
      </c>
      <c r="R74" s="11" t="s">
        <v>556</v>
      </c>
      <c r="S74" s="11" t="s">
        <v>592</v>
      </c>
      <c r="T74" s="11" t="s">
        <v>461</v>
      </c>
      <c r="U74" s="11" t="s">
        <v>461</v>
      </c>
      <c r="V74" s="11" t="s">
        <v>461</v>
      </c>
      <c r="W74" s="26" t="s">
        <v>695</v>
      </c>
    </row>
    <row r="75" spans="13:23" x14ac:dyDescent="0.35">
      <c r="M75" s="11" t="s">
        <v>704</v>
      </c>
      <c r="N75" s="11" t="s">
        <v>479</v>
      </c>
      <c r="O75" s="11" t="s">
        <v>479</v>
      </c>
      <c r="P75" s="11" t="s">
        <v>501</v>
      </c>
      <c r="Q75" s="11" t="s">
        <v>555</v>
      </c>
      <c r="R75" s="11" t="s">
        <v>556</v>
      </c>
      <c r="S75" s="11" t="s">
        <v>593</v>
      </c>
      <c r="T75" s="11" t="s">
        <v>461</v>
      </c>
      <c r="U75" s="11" t="s">
        <v>461</v>
      </c>
      <c r="V75" s="11" t="s">
        <v>461</v>
      </c>
      <c r="W75" s="26" t="s">
        <v>695</v>
      </c>
    </row>
    <row r="76" spans="13:23" x14ac:dyDescent="0.35">
      <c r="M76" s="11" t="s">
        <v>704</v>
      </c>
      <c r="N76" s="11" t="s">
        <v>479</v>
      </c>
      <c r="O76" s="11" t="s">
        <v>479</v>
      </c>
      <c r="P76" s="11" t="s">
        <v>552</v>
      </c>
      <c r="Q76" s="11" t="s">
        <v>555</v>
      </c>
      <c r="R76" s="11" t="s">
        <v>556</v>
      </c>
      <c r="S76" s="11" t="s">
        <v>594</v>
      </c>
      <c r="T76" s="11" t="s">
        <v>461</v>
      </c>
      <c r="U76" s="11" t="s">
        <v>461</v>
      </c>
      <c r="V76" s="11" t="s">
        <v>461</v>
      </c>
      <c r="W76" s="26" t="s">
        <v>695</v>
      </c>
    </row>
    <row r="77" spans="13:23" x14ac:dyDescent="0.35">
      <c r="M77" s="11" t="s">
        <v>704</v>
      </c>
      <c r="N77" s="11" t="s">
        <v>479</v>
      </c>
      <c r="O77" s="11" t="s">
        <v>479</v>
      </c>
      <c r="P77" s="11" t="s">
        <v>527</v>
      </c>
      <c r="Q77" s="11" t="s">
        <v>555</v>
      </c>
      <c r="R77" s="11" t="s">
        <v>556</v>
      </c>
      <c r="S77" s="11" t="s">
        <v>595</v>
      </c>
      <c r="T77" s="11" t="s">
        <v>461</v>
      </c>
      <c r="U77" s="11" t="s">
        <v>461</v>
      </c>
      <c r="V77" s="11" t="s">
        <v>461</v>
      </c>
      <c r="W77" s="26" t="s">
        <v>695</v>
      </c>
    </row>
    <row r="78" spans="13:23" x14ac:dyDescent="0.35">
      <c r="M78" s="11" t="s">
        <v>704</v>
      </c>
      <c r="N78" s="11" t="s">
        <v>479</v>
      </c>
      <c r="O78" s="11" t="s">
        <v>479</v>
      </c>
      <c r="P78" s="11" t="s">
        <v>491</v>
      </c>
      <c r="Q78" s="11" t="s">
        <v>555</v>
      </c>
      <c r="R78" s="11" t="s">
        <v>556</v>
      </c>
      <c r="S78" s="11" t="s">
        <v>596</v>
      </c>
      <c r="T78" s="11" t="s">
        <v>461</v>
      </c>
      <c r="U78" s="11" t="s">
        <v>461</v>
      </c>
      <c r="V78" s="11" t="s">
        <v>461</v>
      </c>
      <c r="W78" s="26" t="s">
        <v>695</v>
      </c>
    </row>
    <row r="79" spans="13:23" x14ac:dyDescent="0.35">
      <c r="M79" s="11" t="s">
        <v>704</v>
      </c>
      <c r="N79" s="11" t="s">
        <v>479</v>
      </c>
      <c r="O79" s="11" t="s">
        <v>479</v>
      </c>
      <c r="P79" s="11" t="s">
        <v>490</v>
      </c>
      <c r="Q79" s="11" t="s">
        <v>555</v>
      </c>
      <c r="R79" s="11" t="s">
        <v>556</v>
      </c>
      <c r="S79" s="11" t="s">
        <v>597</v>
      </c>
      <c r="T79" s="11" t="s">
        <v>461</v>
      </c>
      <c r="U79" s="11" t="s">
        <v>461</v>
      </c>
      <c r="V79" s="11" t="s">
        <v>461</v>
      </c>
      <c r="W79" s="26" t="s">
        <v>695</v>
      </c>
    </row>
    <row r="80" spans="13:23" x14ac:dyDescent="0.35">
      <c r="M80" s="11" t="s">
        <v>704</v>
      </c>
      <c r="N80" s="11" t="s">
        <v>479</v>
      </c>
      <c r="O80" s="11" t="s">
        <v>479</v>
      </c>
      <c r="P80" s="11" t="s">
        <v>480</v>
      </c>
      <c r="Q80" s="11" t="s">
        <v>555</v>
      </c>
      <c r="R80" s="11" t="s">
        <v>556</v>
      </c>
      <c r="S80" s="11" t="s">
        <v>598</v>
      </c>
      <c r="T80" s="11" t="s">
        <v>461</v>
      </c>
      <c r="U80" s="11" t="s">
        <v>461</v>
      </c>
      <c r="V80" s="11" t="s">
        <v>461</v>
      </c>
      <c r="W80" s="26" t="s">
        <v>695</v>
      </c>
    </row>
    <row r="81" spans="13:23" x14ac:dyDescent="0.35">
      <c r="M81" s="11" t="s">
        <v>704</v>
      </c>
      <c r="N81" s="11" t="s">
        <v>483</v>
      </c>
      <c r="O81" s="11" t="s">
        <v>483</v>
      </c>
      <c r="P81" s="11" t="s">
        <v>484</v>
      </c>
      <c r="Q81" s="11" t="s">
        <v>555</v>
      </c>
      <c r="R81" s="11" t="s">
        <v>556</v>
      </c>
      <c r="S81" s="11" t="s">
        <v>599</v>
      </c>
      <c r="T81" s="11" t="s">
        <v>461</v>
      </c>
      <c r="U81" s="11" t="s">
        <v>461</v>
      </c>
      <c r="V81" s="11" t="s">
        <v>461</v>
      </c>
      <c r="W81" s="26" t="s">
        <v>695</v>
      </c>
    </row>
    <row r="82" spans="13:23" x14ac:dyDescent="0.35">
      <c r="M82" s="11" t="s">
        <v>704</v>
      </c>
      <c r="N82" s="11" t="s">
        <v>483</v>
      </c>
      <c r="O82" s="11" t="s">
        <v>483</v>
      </c>
      <c r="P82" s="11" t="s">
        <v>503</v>
      </c>
      <c r="Q82" s="11" t="s">
        <v>555</v>
      </c>
      <c r="R82" s="11" t="s">
        <v>556</v>
      </c>
      <c r="S82" s="11" t="s">
        <v>600</v>
      </c>
      <c r="T82" s="11" t="s">
        <v>461</v>
      </c>
      <c r="U82" s="11" t="s">
        <v>461</v>
      </c>
      <c r="V82" s="11" t="s">
        <v>461</v>
      </c>
      <c r="W82" s="26" t="s">
        <v>695</v>
      </c>
    </row>
    <row r="83" spans="13:23" x14ac:dyDescent="0.35">
      <c r="M83" s="11" t="s">
        <v>704</v>
      </c>
      <c r="N83" s="11" t="s">
        <v>470</v>
      </c>
      <c r="O83" s="11" t="s">
        <v>470</v>
      </c>
      <c r="P83" s="11" t="s">
        <v>538</v>
      </c>
      <c r="Q83" s="11" t="s">
        <v>555</v>
      </c>
      <c r="R83" s="11" t="s">
        <v>556</v>
      </c>
      <c r="S83" s="11" t="s">
        <v>601</v>
      </c>
      <c r="T83" s="11" t="s">
        <v>461</v>
      </c>
      <c r="U83" s="11" t="s">
        <v>461</v>
      </c>
      <c r="V83" s="11" t="s">
        <v>461</v>
      </c>
      <c r="W83" s="26" t="s">
        <v>695</v>
      </c>
    </row>
    <row r="84" spans="13:23" x14ac:dyDescent="0.35">
      <c r="M84" s="11" t="s">
        <v>704</v>
      </c>
      <c r="N84" s="11" t="s">
        <v>470</v>
      </c>
      <c r="O84" s="11" t="s">
        <v>470</v>
      </c>
      <c r="P84" s="11" t="s">
        <v>547</v>
      </c>
      <c r="Q84" s="11" t="s">
        <v>555</v>
      </c>
      <c r="R84" s="11" t="s">
        <v>556</v>
      </c>
      <c r="S84" s="11" t="s">
        <v>602</v>
      </c>
      <c r="T84" s="11" t="s">
        <v>461</v>
      </c>
      <c r="U84" s="11" t="s">
        <v>461</v>
      </c>
      <c r="V84" s="11" t="s">
        <v>461</v>
      </c>
      <c r="W84" s="26" t="s">
        <v>695</v>
      </c>
    </row>
    <row r="85" spans="13:23" x14ac:dyDescent="0.35">
      <c r="M85" s="11" t="s">
        <v>704</v>
      </c>
      <c r="N85" s="11" t="s">
        <v>470</v>
      </c>
      <c r="O85" s="11" t="s">
        <v>470</v>
      </c>
      <c r="P85" s="11" t="s">
        <v>546</v>
      </c>
      <c r="Q85" s="11" t="s">
        <v>555</v>
      </c>
      <c r="R85" s="11" t="s">
        <v>556</v>
      </c>
      <c r="S85" s="11" t="s">
        <v>603</v>
      </c>
      <c r="T85" s="11" t="s">
        <v>461</v>
      </c>
      <c r="U85" s="11" t="s">
        <v>461</v>
      </c>
      <c r="V85" s="11" t="s">
        <v>461</v>
      </c>
      <c r="W85" s="26" t="s">
        <v>695</v>
      </c>
    </row>
    <row r="86" spans="13:23" x14ac:dyDescent="0.35">
      <c r="M86" s="11" t="s">
        <v>704</v>
      </c>
      <c r="N86" s="11" t="s">
        <v>470</v>
      </c>
      <c r="O86" s="11" t="s">
        <v>470</v>
      </c>
      <c r="P86" s="11" t="s">
        <v>471</v>
      </c>
      <c r="Q86" s="11" t="s">
        <v>555</v>
      </c>
      <c r="R86" s="11" t="s">
        <v>556</v>
      </c>
      <c r="S86" s="11" t="s">
        <v>604</v>
      </c>
      <c r="T86" s="11" t="s">
        <v>461</v>
      </c>
      <c r="U86" s="11" t="s">
        <v>461</v>
      </c>
      <c r="V86" s="11" t="s">
        <v>461</v>
      </c>
      <c r="W86" s="26" t="s">
        <v>695</v>
      </c>
    </row>
    <row r="87" spans="13:23" x14ac:dyDescent="0.35">
      <c r="M87" s="11" t="s">
        <v>704</v>
      </c>
      <c r="N87" s="11" t="s">
        <v>504</v>
      </c>
      <c r="O87" s="11" t="s">
        <v>504</v>
      </c>
      <c r="P87" s="11" t="s">
        <v>505</v>
      </c>
      <c r="Q87" s="11" t="s">
        <v>555</v>
      </c>
      <c r="R87" s="11" t="s">
        <v>556</v>
      </c>
      <c r="S87" s="11" t="s">
        <v>605</v>
      </c>
      <c r="T87" s="11" t="s">
        <v>461</v>
      </c>
      <c r="U87" s="11" t="s">
        <v>461</v>
      </c>
      <c r="V87" s="11" t="s">
        <v>461</v>
      </c>
      <c r="W87" s="26" t="s">
        <v>695</v>
      </c>
    </row>
    <row r="88" spans="13:23" x14ac:dyDescent="0.35">
      <c r="M88" s="11" t="s">
        <v>704</v>
      </c>
      <c r="N88" s="11" t="s">
        <v>504</v>
      </c>
      <c r="O88" s="11" t="s">
        <v>504</v>
      </c>
      <c r="P88" s="11" t="s">
        <v>513</v>
      </c>
      <c r="Q88" s="11" t="s">
        <v>555</v>
      </c>
      <c r="R88" s="11" t="s">
        <v>556</v>
      </c>
      <c r="S88" s="11" t="s">
        <v>606</v>
      </c>
      <c r="T88" s="11" t="s">
        <v>461</v>
      </c>
      <c r="U88" s="11" t="s">
        <v>461</v>
      </c>
      <c r="V88" s="11" t="s">
        <v>461</v>
      </c>
      <c r="W88" s="26" t="s">
        <v>695</v>
      </c>
    </row>
    <row r="89" spans="13:23" x14ac:dyDescent="0.35">
      <c r="M89" s="11" t="s">
        <v>704</v>
      </c>
      <c r="N89" s="11" t="s">
        <v>477</v>
      </c>
      <c r="O89" s="11" t="s">
        <v>477</v>
      </c>
      <c r="P89" s="11" t="s">
        <v>509</v>
      </c>
      <c r="Q89" s="11" t="s">
        <v>555</v>
      </c>
      <c r="R89" s="11" t="s">
        <v>556</v>
      </c>
      <c r="S89" s="11" t="s">
        <v>607</v>
      </c>
      <c r="T89" s="11" t="s">
        <v>461</v>
      </c>
      <c r="U89" s="11" t="s">
        <v>461</v>
      </c>
      <c r="V89" s="11" t="s">
        <v>461</v>
      </c>
      <c r="W89" s="26" t="s">
        <v>695</v>
      </c>
    </row>
    <row r="90" spans="13:23" x14ac:dyDescent="0.35">
      <c r="M90" s="11" t="s">
        <v>704</v>
      </c>
      <c r="N90" s="11" t="s">
        <v>477</v>
      </c>
      <c r="O90" s="11" t="s">
        <v>477</v>
      </c>
      <c r="P90" s="11" t="s">
        <v>525</v>
      </c>
      <c r="Q90" s="11" t="s">
        <v>555</v>
      </c>
      <c r="R90" s="11" t="s">
        <v>556</v>
      </c>
      <c r="S90" s="11" t="s">
        <v>608</v>
      </c>
      <c r="T90" s="11" t="s">
        <v>461</v>
      </c>
      <c r="U90" s="11" t="s">
        <v>461</v>
      </c>
      <c r="V90" s="11" t="s">
        <v>461</v>
      </c>
      <c r="W90" s="26" t="s">
        <v>695</v>
      </c>
    </row>
    <row r="91" spans="13:23" x14ac:dyDescent="0.35">
      <c r="M91" s="11" t="s">
        <v>704</v>
      </c>
      <c r="N91" s="11" t="s">
        <v>477</v>
      </c>
      <c r="O91" s="11" t="s">
        <v>477</v>
      </c>
      <c r="P91" s="11" t="s">
        <v>478</v>
      </c>
      <c r="Q91" s="11" t="s">
        <v>555</v>
      </c>
      <c r="R91" s="11" t="s">
        <v>556</v>
      </c>
      <c r="S91" s="11" t="s">
        <v>609</v>
      </c>
      <c r="T91" s="11" t="s">
        <v>461</v>
      </c>
      <c r="U91" s="11" t="s">
        <v>461</v>
      </c>
      <c r="V91" s="11" t="s">
        <v>461</v>
      </c>
      <c r="W91" s="26" t="s">
        <v>695</v>
      </c>
    </row>
    <row r="92" spans="13:23" x14ac:dyDescent="0.35">
      <c r="M92" s="11" t="s">
        <v>704</v>
      </c>
      <c r="N92" s="11" t="s">
        <v>477</v>
      </c>
      <c r="O92" s="11" t="s">
        <v>477</v>
      </c>
      <c r="P92" s="11" t="s">
        <v>500</v>
      </c>
      <c r="Q92" s="11" t="s">
        <v>555</v>
      </c>
      <c r="R92" s="11" t="s">
        <v>556</v>
      </c>
      <c r="S92" s="11" t="s">
        <v>610</v>
      </c>
      <c r="T92" s="11" t="s">
        <v>461</v>
      </c>
      <c r="U92" s="11" t="s">
        <v>461</v>
      </c>
      <c r="V92" s="11" t="s">
        <v>461</v>
      </c>
      <c r="W92" s="26" t="s">
        <v>695</v>
      </c>
    </row>
    <row r="93" spans="13:23" x14ac:dyDescent="0.35">
      <c r="M93" s="11" t="s">
        <v>704</v>
      </c>
      <c r="N93" s="11" t="s">
        <v>477</v>
      </c>
      <c r="O93" s="11" t="s">
        <v>477</v>
      </c>
      <c r="P93" s="11" t="s">
        <v>313</v>
      </c>
      <c r="Q93" s="11" t="s">
        <v>555</v>
      </c>
      <c r="R93" s="11" t="s">
        <v>556</v>
      </c>
      <c r="S93" s="11" t="s">
        <v>611</v>
      </c>
      <c r="T93" s="11" t="s">
        <v>461</v>
      </c>
      <c r="U93" s="11" t="s">
        <v>461</v>
      </c>
      <c r="V93" s="11" t="s">
        <v>461</v>
      </c>
      <c r="W93" s="26" t="s">
        <v>695</v>
      </c>
    </row>
    <row r="94" spans="13:23" x14ac:dyDescent="0.35">
      <c r="M94" s="11" t="s">
        <v>704</v>
      </c>
      <c r="N94" s="11" t="s">
        <v>477</v>
      </c>
      <c r="O94" s="11" t="s">
        <v>477</v>
      </c>
      <c r="P94" s="11" t="s">
        <v>518</v>
      </c>
      <c r="Q94" s="11" t="s">
        <v>555</v>
      </c>
      <c r="R94" s="11" t="s">
        <v>556</v>
      </c>
      <c r="S94" s="11" t="s">
        <v>612</v>
      </c>
      <c r="T94" s="11" t="s">
        <v>461</v>
      </c>
      <c r="U94" s="11" t="s">
        <v>461</v>
      </c>
      <c r="V94" s="11" t="s">
        <v>461</v>
      </c>
      <c r="W94" s="26" t="s">
        <v>695</v>
      </c>
    </row>
    <row r="95" spans="13:23" x14ac:dyDescent="0.35">
      <c r="M95" s="11" t="s">
        <v>704</v>
      </c>
      <c r="N95" s="11" t="s">
        <v>507</v>
      </c>
      <c r="O95" s="11" t="s">
        <v>507</v>
      </c>
      <c r="P95" s="11" t="s">
        <v>534</v>
      </c>
      <c r="Q95" s="11" t="s">
        <v>555</v>
      </c>
      <c r="R95" s="11" t="s">
        <v>556</v>
      </c>
      <c r="S95" s="11" t="s">
        <v>613</v>
      </c>
      <c r="T95" s="11" t="s">
        <v>461</v>
      </c>
      <c r="U95" s="11" t="s">
        <v>461</v>
      </c>
      <c r="V95" s="11" t="s">
        <v>461</v>
      </c>
      <c r="W95" s="26" t="s">
        <v>695</v>
      </c>
    </row>
    <row r="96" spans="13:23" x14ac:dyDescent="0.35">
      <c r="M96" s="11" t="s">
        <v>704</v>
      </c>
      <c r="N96" s="11" t="s">
        <v>510</v>
      </c>
      <c r="O96" s="11" t="s">
        <v>510</v>
      </c>
      <c r="P96" s="11" t="s">
        <v>512</v>
      </c>
      <c r="Q96" s="11" t="s">
        <v>555</v>
      </c>
      <c r="R96" s="11" t="s">
        <v>556</v>
      </c>
      <c r="S96" s="11" t="s">
        <v>614</v>
      </c>
      <c r="T96" s="11" t="s">
        <v>461</v>
      </c>
      <c r="U96" s="11" t="s">
        <v>461</v>
      </c>
      <c r="V96" s="11" t="s">
        <v>461</v>
      </c>
      <c r="W96" s="26" t="s">
        <v>695</v>
      </c>
    </row>
    <row r="97" spans="13:23" x14ac:dyDescent="0.35">
      <c r="M97" s="11" t="s">
        <v>704</v>
      </c>
      <c r="N97" s="11" t="s">
        <v>461</v>
      </c>
      <c r="O97" s="11" t="s">
        <v>461</v>
      </c>
      <c r="P97" s="11" t="s">
        <v>543</v>
      </c>
      <c r="Q97" s="11" t="s">
        <v>555</v>
      </c>
      <c r="R97" s="11" t="s">
        <v>556</v>
      </c>
      <c r="S97" s="11" t="s">
        <v>615</v>
      </c>
      <c r="T97" s="11" t="s">
        <v>461</v>
      </c>
      <c r="U97" s="11" t="s">
        <v>461</v>
      </c>
      <c r="V97" s="11" t="s">
        <v>461</v>
      </c>
      <c r="W97" s="26" t="s">
        <v>695</v>
      </c>
    </row>
    <row r="98" spans="13:23" x14ac:dyDescent="0.35">
      <c r="M98" s="11" t="s">
        <v>704</v>
      </c>
      <c r="N98" s="11" t="s">
        <v>497</v>
      </c>
      <c r="O98" s="11" t="s">
        <v>497</v>
      </c>
      <c r="P98" s="11" t="s">
        <v>522</v>
      </c>
      <c r="Q98" s="11" t="s">
        <v>555</v>
      </c>
      <c r="R98" s="11" t="s">
        <v>556</v>
      </c>
      <c r="S98" s="11" t="s">
        <v>616</v>
      </c>
      <c r="T98" s="11" t="s">
        <v>461</v>
      </c>
      <c r="U98" s="11" t="s">
        <v>461</v>
      </c>
      <c r="V98" s="11" t="s">
        <v>461</v>
      </c>
      <c r="W98" s="26" t="s">
        <v>695</v>
      </c>
    </row>
    <row r="99" spans="13:23" x14ac:dyDescent="0.35">
      <c r="M99" s="11" t="s">
        <v>704</v>
      </c>
      <c r="N99" s="11" t="s">
        <v>497</v>
      </c>
      <c r="O99" s="11" t="s">
        <v>497</v>
      </c>
      <c r="P99" s="11" t="s">
        <v>545</v>
      </c>
      <c r="Q99" s="11" t="s">
        <v>555</v>
      </c>
      <c r="R99" s="11" t="s">
        <v>556</v>
      </c>
      <c r="S99" s="11" t="s">
        <v>617</v>
      </c>
      <c r="T99" s="11" t="s">
        <v>461</v>
      </c>
      <c r="U99" s="11" t="s">
        <v>461</v>
      </c>
      <c r="V99" s="11" t="s">
        <v>461</v>
      </c>
      <c r="W99" s="26" t="s">
        <v>695</v>
      </c>
    </row>
    <row r="100" spans="13:23" x14ac:dyDescent="0.35">
      <c r="M100" s="11" t="s">
        <v>704</v>
      </c>
      <c r="N100" s="11" t="s">
        <v>497</v>
      </c>
      <c r="O100" s="11" t="s">
        <v>497</v>
      </c>
      <c r="P100" s="11" t="s">
        <v>539</v>
      </c>
      <c r="Q100" s="11" t="s">
        <v>555</v>
      </c>
      <c r="R100" s="11" t="s">
        <v>556</v>
      </c>
      <c r="S100" s="11" t="s">
        <v>618</v>
      </c>
      <c r="T100" s="11" t="s">
        <v>461</v>
      </c>
      <c r="U100" s="11" t="s">
        <v>461</v>
      </c>
      <c r="V100" s="11" t="s">
        <v>461</v>
      </c>
      <c r="W100" s="26" t="s">
        <v>695</v>
      </c>
    </row>
    <row r="101" spans="13:23" x14ac:dyDescent="0.35">
      <c r="M101" s="11" t="s">
        <v>704</v>
      </c>
      <c r="N101" s="11" t="s">
        <v>497</v>
      </c>
      <c r="O101" s="11" t="s">
        <v>497</v>
      </c>
      <c r="P101" s="11" t="s">
        <v>498</v>
      </c>
      <c r="Q101" s="11" t="s">
        <v>555</v>
      </c>
      <c r="R101" s="11" t="s">
        <v>556</v>
      </c>
      <c r="S101" s="11" t="s">
        <v>619</v>
      </c>
      <c r="T101" s="11" t="s">
        <v>461</v>
      </c>
      <c r="U101" s="11" t="s">
        <v>461</v>
      </c>
      <c r="V101" s="11" t="s">
        <v>461</v>
      </c>
      <c r="W101" s="26" t="s">
        <v>695</v>
      </c>
    </row>
    <row r="102" spans="13:23" x14ac:dyDescent="0.35">
      <c r="M102" s="11" t="s">
        <v>704</v>
      </c>
      <c r="N102" s="11" t="s">
        <v>473</v>
      </c>
      <c r="O102" s="11" t="s">
        <v>473</v>
      </c>
      <c r="P102" s="11" t="s">
        <v>548</v>
      </c>
      <c r="Q102" s="11" t="s">
        <v>555</v>
      </c>
      <c r="R102" s="11" t="s">
        <v>556</v>
      </c>
      <c r="S102" s="11" t="s">
        <v>620</v>
      </c>
      <c r="T102" s="11" t="s">
        <v>461</v>
      </c>
      <c r="U102" s="11" t="s">
        <v>461</v>
      </c>
      <c r="V102" s="11" t="s">
        <v>461</v>
      </c>
      <c r="W102" s="26" t="s">
        <v>695</v>
      </c>
    </row>
    <row r="103" spans="13:23" x14ac:dyDescent="0.35">
      <c r="M103" s="11" t="s">
        <v>704</v>
      </c>
      <c r="N103" s="11" t="s">
        <v>532</v>
      </c>
      <c r="O103" s="11" t="s">
        <v>532</v>
      </c>
      <c r="P103" s="11" t="s">
        <v>542</v>
      </c>
      <c r="Q103" s="11" t="s">
        <v>555</v>
      </c>
      <c r="R103" s="11" t="s">
        <v>556</v>
      </c>
      <c r="S103" s="11" t="s">
        <v>621</v>
      </c>
      <c r="T103" s="11" t="s">
        <v>461</v>
      </c>
      <c r="U103" s="11" t="s">
        <v>461</v>
      </c>
      <c r="V103" s="11" t="s">
        <v>461</v>
      </c>
      <c r="W103" s="26" t="s">
        <v>695</v>
      </c>
    </row>
    <row r="104" spans="13:23" x14ac:dyDescent="0.35">
      <c r="M104" s="11" t="s">
        <v>704</v>
      </c>
      <c r="N104" s="11" t="s">
        <v>488</v>
      </c>
      <c r="O104" s="11" t="s">
        <v>488</v>
      </c>
      <c r="P104" s="11" t="s">
        <v>489</v>
      </c>
      <c r="Q104" s="11" t="s">
        <v>555</v>
      </c>
      <c r="R104" s="11" t="s">
        <v>556</v>
      </c>
      <c r="S104" s="11" t="s">
        <v>622</v>
      </c>
      <c r="T104" s="11" t="s">
        <v>461</v>
      </c>
      <c r="U104" s="11" t="s">
        <v>461</v>
      </c>
      <c r="V104" s="11" t="s">
        <v>461</v>
      </c>
      <c r="W104" s="26" t="s">
        <v>695</v>
      </c>
    </row>
    <row r="105" spans="13:23" x14ac:dyDescent="0.35">
      <c r="M105" s="11" t="s">
        <v>704</v>
      </c>
      <c r="N105" s="11" t="s">
        <v>515</v>
      </c>
      <c r="O105" s="11" t="s">
        <v>515</v>
      </c>
      <c r="P105" s="11" t="s">
        <v>540</v>
      </c>
      <c r="Q105" s="11" t="s">
        <v>555</v>
      </c>
      <c r="R105" s="11" t="s">
        <v>556</v>
      </c>
      <c r="S105" s="11" t="s">
        <v>623</v>
      </c>
      <c r="T105" s="11" t="s">
        <v>461</v>
      </c>
      <c r="U105" s="11" t="s">
        <v>461</v>
      </c>
      <c r="V105" s="11" t="s">
        <v>461</v>
      </c>
      <c r="W105" s="26" t="s">
        <v>695</v>
      </c>
    </row>
    <row r="106" spans="13:23" x14ac:dyDescent="0.35">
      <c r="M106" s="11" t="s">
        <v>763</v>
      </c>
      <c r="N106" s="11" t="s">
        <v>220</v>
      </c>
      <c r="O106" s="11" t="s">
        <v>691</v>
      </c>
      <c r="P106" s="11" t="s">
        <v>764</v>
      </c>
      <c r="Q106" s="11" t="s">
        <v>528</v>
      </c>
      <c r="R106" s="11" t="s">
        <v>773</v>
      </c>
      <c r="S106" s="11" t="s">
        <v>774</v>
      </c>
      <c r="T106" s="11" t="s">
        <v>461</v>
      </c>
      <c r="U106" s="11" t="s">
        <v>772</v>
      </c>
      <c r="V106" s="11" t="s">
        <v>461</v>
      </c>
      <c r="W106" s="26" t="s">
        <v>695</v>
      </c>
    </row>
    <row r="107" spans="13:23" x14ac:dyDescent="0.35">
      <c r="M107" s="11" t="s">
        <v>763</v>
      </c>
      <c r="N107" s="11" t="s">
        <v>232</v>
      </c>
      <c r="O107" s="11" t="s">
        <v>693</v>
      </c>
      <c r="P107" s="11" t="s">
        <v>765</v>
      </c>
      <c r="Q107" s="11" t="s">
        <v>528</v>
      </c>
      <c r="R107" s="11" t="s">
        <v>775</v>
      </c>
      <c r="S107" s="11" t="s">
        <v>776</v>
      </c>
      <c r="T107" s="11" t="s">
        <v>461</v>
      </c>
      <c r="U107" s="11" t="s">
        <v>771</v>
      </c>
      <c r="V107" s="11" t="s">
        <v>461</v>
      </c>
      <c r="W107" s="26" t="s">
        <v>695</v>
      </c>
    </row>
    <row r="108" spans="13:23" x14ac:dyDescent="0.35">
      <c r="M108" s="11" t="s">
        <v>763</v>
      </c>
      <c r="N108" s="11" t="s">
        <v>217</v>
      </c>
      <c r="O108" s="11" t="s">
        <v>675</v>
      </c>
      <c r="P108" s="11" t="s">
        <v>766</v>
      </c>
      <c r="Q108" s="11" t="s">
        <v>476</v>
      </c>
      <c r="R108" s="11" t="s">
        <v>777</v>
      </c>
      <c r="S108" s="11" t="s">
        <v>778</v>
      </c>
      <c r="T108" s="11" t="s">
        <v>461</v>
      </c>
      <c r="U108" s="11" t="s">
        <v>771</v>
      </c>
      <c r="V108" s="11" t="s">
        <v>461</v>
      </c>
      <c r="W108" s="26" t="s">
        <v>695</v>
      </c>
    </row>
    <row r="109" spans="13:23" x14ac:dyDescent="0.35">
      <c r="M109" s="11" t="s">
        <v>763</v>
      </c>
      <c r="N109" s="11" t="s">
        <v>189</v>
      </c>
      <c r="O109" s="11" t="s">
        <v>685</v>
      </c>
      <c r="P109" s="11" t="s">
        <v>767</v>
      </c>
      <c r="Q109" s="11" t="s">
        <v>528</v>
      </c>
      <c r="R109" s="11" t="s">
        <v>779</v>
      </c>
      <c r="S109" s="11" t="s">
        <v>780</v>
      </c>
      <c r="T109" s="11" t="s">
        <v>461</v>
      </c>
      <c r="U109" s="11" t="s">
        <v>771</v>
      </c>
      <c r="V109" s="11" t="s">
        <v>461</v>
      </c>
      <c r="W109" s="26" t="s">
        <v>695</v>
      </c>
    </row>
    <row r="110" spans="13:23" x14ac:dyDescent="0.35">
      <c r="M110" s="11" t="s">
        <v>763</v>
      </c>
      <c r="N110" s="11" t="s">
        <v>223</v>
      </c>
      <c r="O110" s="11" t="s">
        <v>678</v>
      </c>
      <c r="P110" s="11" t="s">
        <v>768</v>
      </c>
      <c r="Q110" s="11" t="s">
        <v>476</v>
      </c>
      <c r="R110" s="11" t="s">
        <v>781</v>
      </c>
      <c r="S110" s="11" t="s">
        <v>782</v>
      </c>
      <c r="T110" s="11" t="s">
        <v>461</v>
      </c>
      <c r="U110" s="11" t="s">
        <v>770</v>
      </c>
      <c r="V110" s="11" t="s">
        <v>461</v>
      </c>
      <c r="W110" s="26" t="s">
        <v>695</v>
      </c>
    </row>
    <row r="111" spans="13:23" x14ac:dyDescent="0.35">
      <c r="M111" s="11" t="s">
        <v>763</v>
      </c>
      <c r="N111" s="11" t="s">
        <v>212</v>
      </c>
      <c r="O111" s="11" t="s">
        <v>680</v>
      </c>
      <c r="P111" s="11" t="s">
        <v>769</v>
      </c>
      <c r="Q111" s="11" t="s">
        <v>476</v>
      </c>
      <c r="R111" s="11" t="s">
        <v>783</v>
      </c>
      <c r="S111" s="11" t="s">
        <v>784</v>
      </c>
      <c r="T111" s="11" t="s">
        <v>461</v>
      </c>
      <c r="U111" s="11" t="s">
        <v>770</v>
      </c>
      <c r="V111" s="11" t="s">
        <v>461</v>
      </c>
      <c r="W111" s="26" t="s">
        <v>695</v>
      </c>
    </row>
    <row r="112" spans="13:23" x14ac:dyDescent="0.35">
      <c r="M112" s="11" t="s">
        <v>757</v>
      </c>
      <c r="N112" s="11" t="s">
        <v>467</v>
      </c>
      <c r="O112" s="11" t="s">
        <v>715</v>
      </c>
      <c r="P112" s="11" t="s">
        <v>486</v>
      </c>
      <c r="Q112" s="11"/>
      <c r="R112" s="11" t="s">
        <v>709</v>
      </c>
      <c r="S112" s="11" t="s">
        <v>791</v>
      </c>
      <c r="T112" s="11" t="s">
        <v>787</v>
      </c>
      <c r="U112" s="11" t="s">
        <v>461</v>
      </c>
      <c r="V112" s="11" t="s">
        <v>461</v>
      </c>
      <c r="W112" s="26" t="s">
        <v>695</v>
      </c>
    </row>
    <row r="113" spans="13:23" x14ac:dyDescent="0.35">
      <c r="M113" s="11" t="s">
        <v>757</v>
      </c>
      <c r="N113" s="11" t="s">
        <v>467</v>
      </c>
      <c r="O113" s="11" t="s">
        <v>716</v>
      </c>
      <c r="P113" s="11" t="s">
        <v>545</v>
      </c>
      <c r="Q113" s="11"/>
      <c r="R113" s="11" t="s">
        <v>709</v>
      </c>
      <c r="S113" s="11" t="s">
        <v>792</v>
      </c>
      <c r="T113" s="11" t="s">
        <v>787</v>
      </c>
      <c r="U113" s="11" t="s">
        <v>461</v>
      </c>
      <c r="V113" s="11" t="s">
        <v>461</v>
      </c>
      <c r="W113" s="26" t="s">
        <v>695</v>
      </c>
    </row>
    <row r="114" spans="13:23" x14ac:dyDescent="0.35">
      <c r="M114" s="11" t="s">
        <v>757</v>
      </c>
      <c r="N114" s="11" t="s">
        <v>467</v>
      </c>
      <c r="O114" s="11" t="s">
        <v>717</v>
      </c>
      <c r="P114" s="11" t="s">
        <v>509</v>
      </c>
      <c r="Q114" s="11"/>
      <c r="R114" s="11" t="s">
        <v>709</v>
      </c>
      <c r="S114" s="11" t="s">
        <v>793</v>
      </c>
      <c r="T114" s="11" t="s">
        <v>787</v>
      </c>
      <c r="U114" s="11" t="s">
        <v>461</v>
      </c>
      <c r="V114" s="11" t="s">
        <v>461</v>
      </c>
      <c r="W114" s="26" t="s">
        <v>695</v>
      </c>
    </row>
    <row r="115" spans="13:23" x14ac:dyDescent="0.35">
      <c r="M115" s="11" t="s">
        <v>757</v>
      </c>
      <c r="N115" s="11" t="s">
        <v>467</v>
      </c>
      <c r="O115" s="11" t="s">
        <v>718</v>
      </c>
      <c r="P115" s="11" t="s">
        <v>710</v>
      </c>
      <c r="Q115" s="11"/>
      <c r="R115" s="11" t="s">
        <v>709</v>
      </c>
      <c r="S115" s="11" t="s">
        <v>794</v>
      </c>
      <c r="T115" s="11" t="s">
        <v>787</v>
      </c>
      <c r="U115" s="11" t="s">
        <v>461</v>
      </c>
      <c r="V115" s="11" t="s">
        <v>461</v>
      </c>
      <c r="W115" s="26" t="s">
        <v>695</v>
      </c>
    </row>
    <row r="116" spans="13:23" x14ac:dyDescent="0.35">
      <c r="M116" s="11" t="s">
        <v>757</v>
      </c>
      <c r="N116" s="11" t="s">
        <v>467</v>
      </c>
      <c r="O116" s="11" t="s">
        <v>719</v>
      </c>
      <c r="P116" s="11" t="s">
        <v>476</v>
      </c>
      <c r="Q116" s="11"/>
      <c r="R116" s="11" t="s">
        <v>709</v>
      </c>
      <c r="S116" s="11" t="s">
        <v>795</v>
      </c>
      <c r="T116" s="11" t="s">
        <v>787</v>
      </c>
      <c r="U116" s="11" t="s">
        <v>461</v>
      </c>
      <c r="V116" s="11" t="s">
        <v>461</v>
      </c>
      <c r="W116" s="26" t="s">
        <v>695</v>
      </c>
    </row>
    <row r="117" spans="13:23" x14ac:dyDescent="0.35">
      <c r="M117" s="11" t="s">
        <v>757</v>
      </c>
      <c r="N117" s="11" t="s">
        <v>467</v>
      </c>
      <c r="O117" s="11" t="s">
        <v>720</v>
      </c>
      <c r="P117" s="11" t="s">
        <v>487</v>
      </c>
      <c r="Q117" s="11"/>
      <c r="R117" s="11" t="s">
        <v>709</v>
      </c>
      <c r="S117" s="11" t="s">
        <v>796</v>
      </c>
      <c r="T117" s="11" t="s">
        <v>787</v>
      </c>
      <c r="U117" s="11" t="s">
        <v>461</v>
      </c>
      <c r="V117" s="11" t="s">
        <v>461</v>
      </c>
      <c r="W117" s="26" t="s">
        <v>695</v>
      </c>
    </row>
    <row r="118" spans="13:23" x14ac:dyDescent="0.35">
      <c r="M118" s="11" t="s">
        <v>757</v>
      </c>
      <c r="N118" s="11" t="s">
        <v>467</v>
      </c>
      <c r="O118" s="11" t="s">
        <v>664</v>
      </c>
      <c r="P118" s="11" t="s">
        <v>516</v>
      </c>
      <c r="Q118" s="11"/>
      <c r="R118" s="11" t="s">
        <v>709</v>
      </c>
      <c r="S118" s="11" t="s">
        <v>797</v>
      </c>
      <c r="T118" s="11" t="s">
        <v>787</v>
      </c>
      <c r="U118" s="11" t="s">
        <v>461</v>
      </c>
      <c r="V118" s="11" t="s">
        <v>461</v>
      </c>
      <c r="W118" s="26" t="s">
        <v>695</v>
      </c>
    </row>
    <row r="119" spans="13:23" x14ac:dyDescent="0.35">
      <c r="M119" s="11" t="s">
        <v>757</v>
      </c>
      <c r="N119" s="11" t="s">
        <v>467</v>
      </c>
      <c r="O119" s="11" t="s">
        <v>721</v>
      </c>
      <c r="P119" s="11" t="s">
        <v>528</v>
      </c>
      <c r="Q119" s="11"/>
      <c r="R119" s="11" t="s">
        <v>709</v>
      </c>
      <c r="S119" s="11" t="s">
        <v>798</v>
      </c>
      <c r="T119" s="11" t="s">
        <v>787</v>
      </c>
      <c r="U119" s="11" t="s">
        <v>461</v>
      </c>
      <c r="V119" s="11" t="s">
        <v>461</v>
      </c>
      <c r="W119" s="26" t="s">
        <v>695</v>
      </c>
    </row>
    <row r="120" spans="13:23" x14ac:dyDescent="0.35">
      <c r="M120" s="11" t="s">
        <v>757</v>
      </c>
      <c r="N120" s="11" t="s">
        <v>467</v>
      </c>
      <c r="O120" s="11" t="s">
        <v>722</v>
      </c>
      <c r="P120" s="11" t="s">
        <v>538</v>
      </c>
      <c r="Q120" s="11"/>
      <c r="R120" s="11" t="s">
        <v>709</v>
      </c>
      <c r="S120" s="11" t="s">
        <v>799</v>
      </c>
      <c r="T120" s="11" t="s">
        <v>787</v>
      </c>
      <c r="U120" s="11" t="s">
        <v>461</v>
      </c>
      <c r="V120" s="11" t="s">
        <v>461</v>
      </c>
      <c r="W120" s="26" t="s">
        <v>695</v>
      </c>
    </row>
    <row r="121" spans="13:23" x14ac:dyDescent="0.35">
      <c r="M121" s="11" t="s">
        <v>757</v>
      </c>
      <c r="N121" s="11" t="s">
        <v>467</v>
      </c>
      <c r="O121" s="11" t="s">
        <v>723</v>
      </c>
      <c r="P121" s="11" t="s">
        <v>501</v>
      </c>
      <c r="Q121" s="11"/>
      <c r="R121" s="11" t="s">
        <v>709</v>
      </c>
      <c r="S121" s="11" t="s">
        <v>800</v>
      </c>
      <c r="T121" s="11" t="s">
        <v>787</v>
      </c>
      <c r="U121" s="11" t="s">
        <v>461</v>
      </c>
      <c r="V121" s="11" t="s">
        <v>461</v>
      </c>
      <c r="W121" s="26" t="s">
        <v>695</v>
      </c>
    </row>
    <row r="122" spans="13:23" x14ac:dyDescent="0.35">
      <c r="M122" s="11" t="s">
        <v>757</v>
      </c>
      <c r="N122" s="11" t="s">
        <v>467</v>
      </c>
      <c r="O122" s="11" t="s">
        <v>724</v>
      </c>
      <c r="P122" s="11" t="s">
        <v>480</v>
      </c>
      <c r="Q122" s="11"/>
      <c r="R122" s="11" t="s">
        <v>709</v>
      </c>
      <c r="S122" s="11" t="s">
        <v>801</v>
      </c>
      <c r="T122" s="11" t="s">
        <v>787</v>
      </c>
      <c r="U122" s="11" t="s">
        <v>461</v>
      </c>
      <c r="V122" s="11" t="s">
        <v>461</v>
      </c>
      <c r="W122" s="26" t="s">
        <v>695</v>
      </c>
    </row>
    <row r="123" spans="13:23" x14ac:dyDescent="0.35">
      <c r="M123" s="11" t="s">
        <v>757</v>
      </c>
      <c r="N123" s="11" t="s">
        <v>467</v>
      </c>
      <c r="O123" s="11" t="s">
        <v>725</v>
      </c>
      <c r="P123" s="11" t="s">
        <v>522</v>
      </c>
      <c r="Q123" s="11"/>
      <c r="R123" s="11" t="s">
        <v>709</v>
      </c>
      <c r="S123" s="11" t="s">
        <v>802</v>
      </c>
      <c r="T123" s="11" t="s">
        <v>787</v>
      </c>
      <c r="U123" s="11" t="s">
        <v>461</v>
      </c>
      <c r="V123" s="11" t="s">
        <v>461</v>
      </c>
      <c r="W123" s="26" t="s">
        <v>695</v>
      </c>
    </row>
    <row r="124" spans="13:23" x14ac:dyDescent="0.35">
      <c r="M124" s="11" t="s">
        <v>757</v>
      </c>
      <c r="N124" s="11" t="s">
        <v>467</v>
      </c>
      <c r="O124" s="11" t="s">
        <v>717</v>
      </c>
      <c r="P124" s="11" t="s">
        <v>474</v>
      </c>
      <c r="Q124" s="11"/>
      <c r="R124" s="11" t="s">
        <v>709</v>
      </c>
      <c r="S124" s="11" t="s">
        <v>803</v>
      </c>
      <c r="T124" s="11" t="s">
        <v>787</v>
      </c>
      <c r="U124" s="11" t="s">
        <v>461</v>
      </c>
      <c r="V124" s="11" t="s">
        <v>461</v>
      </c>
      <c r="W124" s="26" t="s">
        <v>695</v>
      </c>
    </row>
    <row r="125" spans="13:23" x14ac:dyDescent="0.35">
      <c r="M125" s="11" t="s">
        <v>757</v>
      </c>
      <c r="N125" s="11" t="s">
        <v>467</v>
      </c>
      <c r="O125" s="11" t="s">
        <v>726</v>
      </c>
      <c r="P125" s="11" t="s">
        <v>523</v>
      </c>
      <c r="Q125" s="11"/>
      <c r="R125" s="11" t="s">
        <v>709</v>
      </c>
      <c r="S125" s="11" t="s">
        <v>804</v>
      </c>
      <c r="T125" s="11" t="s">
        <v>787</v>
      </c>
      <c r="U125" s="11" t="s">
        <v>461</v>
      </c>
      <c r="V125" s="11" t="s">
        <v>461</v>
      </c>
      <c r="W125" s="26" t="s">
        <v>695</v>
      </c>
    </row>
    <row r="126" spans="13:23" x14ac:dyDescent="0.35">
      <c r="M126" s="11" t="s">
        <v>757</v>
      </c>
      <c r="N126" s="11" t="s">
        <v>467</v>
      </c>
      <c r="O126" s="11" t="s">
        <v>727</v>
      </c>
      <c r="P126" s="11" t="s">
        <v>527</v>
      </c>
      <c r="Q126" s="11"/>
      <c r="R126" s="11" t="s">
        <v>709</v>
      </c>
      <c r="S126" s="11" t="s">
        <v>805</v>
      </c>
      <c r="T126" s="11" t="s">
        <v>787</v>
      </c>
      <c r="U126" s="11" t="s">
        <v>461</v>
      </c>
      <c r="V126" s="11" t="s">
        <v>461</v>
      </c>
      <c r="W126" s="26" t="s">
        <v>695</v>
      </c>
    </row>
    <row r="127" spans="13:23" x14ac:dyDescent="0.35">
      <c r="M127" s="11" t="s">
        <v>757</v>
      </c>
      <c r="N127" s="11" t="s">
        <v>467</v>
      </c>
      <c r="O127" s="11" t="s">
        <v>728</v>
      </c>
      <c r="P127" s="11" t="s">
        <v>491</v>
      </c>
      <c r="Q127" s="11"/>
      <c r="R127" s="11" t="s">
        <v>709</v>
      </c>
      <c r="S127" s="11" t="s">
        <v>806</v>
      </c>
      <c r="T127" s="11" t="s">
        <v>787</v>
      </c>
      <c r="U127" s="11" t="s">
        <v>461</v>
      </c>
      <c r="V127" s="11" t="s">
        <v>461</v>
      </c>
      <c r="W127" s="26" t="s">
        <v>695</v>
      </c>
    </row>
    <row r="128" spans="13:23" x14ac:dyDescent="0.35">
      <c r="M128" s="11" t="s">
        <v>757</v>
      </c>
      <c r="N128" s="11" t="s">
        <v>467</v>
      </c>
      <c r="O128" s="11" t="s">
        <v>729</v>
      </c>
      <c r="P128" s="11" t="s">
        <v>543</v>
      </c>
      <c r="Q128" s="11"/>
      <c r="R128" s="11" t="s">
        <v>709</v>
      </c>
      <c r="S128" s="11" t="s">
        <v>807</v>
      </c>
      <c r="T128" s="11" t="s">
        <v>787</v>
      </c>
      <c r="U128" s="11" t="s">
        <v>461</v>
      </c>
      <c r="V128" s="11" t="s">
        <v>461</v>
      </c>
      <c r="W128" s="26" t="s">
        <v>695</v>
      </c>
    </row>
    <row r="129" spans="13:23" x14ac:dyDescent="0.35">
      <c r="M129" s="11" t="s">
        <v>757</v>
      </c>
      <c r="N129" s="11" t="s">
        <v>467</v>
      </c>
      <c r="O129" s="11" t="s">
        <v>730</v>
      </c>
      <c r="P129" s="11" t="s">
        <v>534</v>
      </c>
      <c r="Q129" s="11"/>
      <c r="R129" s="11" t="s">
        <v>709</v>
      </c>
      <c r="S129" s="11" t="s">
        <v>808</v>
      </c>
      <c r="T129" s="11" t="s">
        <v>787</v>
      </c>
      <c r="U129" s="11" t="s">
        <v>461</v>
      </c>
      <c r="V129" s="11" t="s">
        <v>461</v>
      </c>
      <c r="W129" s="26" t="s">
        <v>695</v>
      </c>
    </row>
    <row r="130" spans="13:23" x14ac:dyDescent="0.35">
      <c r="M130" s="11" t="s">
        <v>757</v>
      </c>
      <c r="N130" s="11" t="s">
        <v>467</v>
      </c>
      <c r="O130" s="11" t="s">
        <v>731</v>
      </c>
      <c r="P130" s="11" t="s">
        <v>484</v>
      </c>
      <c r="Q130" s="11"/>
      <c r="R130" s="11" t="s">
        <v>709</v>
      </c>
      <c r="S130" s="11" t="s">
        <v>809</v>
      </c>
      <c r="T130" s="11" t="s">
        <v>787</v>
      </c>
      <c r="U130" s="11" t="s">
        <v>461</v>
      </c>
      <c r="V130" s="11" t="s">
        <v>461</v>
      </c>
      <c r="W130" s="26" t="s">
        <v>695</v>
      </c>
    </row>
    <row r="131" spans="13:23" x14ac:dyDescent="0.35">
      <c r="M131" s="11" t="s">
        <v>757</v>
      </c>
      <c r="N131" s="11" t="s">
        <v>467</v>
      </c>
      <c r="O131" s="11" t="s">
        <v>732</v>
      </c>
      <c r="P131" s="11" t="s">
        <v>549</v>
      </c>
      <c r="Q131" s="11"/>
      <c r="R131" s="11" t="s">
        <v>709</v>
      </c>
      <c r="S131" s="11" t="s">
        <v>810</v>
      </c>
      <c r="T131" s="11" t="s">
        <v>787</v>
      </c>
      <c r="U131" s="11" t="s">
        <v>461</v>
      </c>
      <c r="V131" s="11" t="s">
        <v>461</v>
      </c>
      <c r="W131" s="26" t="s">
        <v>695</v>
      </c>
    </row>
    <row r="132" spans="13:23" x14ac:dyDescent="0.35">
      <c r="M132" s="11" t="s">
        <v>757</v>
      </c>
      <c r="N132" s="11" t="s">
        <v>467</v>
      </c>
      <c r="O132" s="11" t="s">
        <v>724</v>
      </c>
      <c r="P132" s="11" t="s">
        <v>478</v>
      </c>
      <c r="Q132" s="11"/>
      <c r="R132" s="11" t="s">
        <v>709</v>
      </c>
      <c r="S132" s="11" t="s">
        <v>811</v>
      </c>
      <c r="T132" s="11" t="s">
        <v>787</v>
      </c>
      <c r="U132" s="11" t="s">
        <v>461</v>
      </c>
      <c r="V132" s="11" t="s">
        <v>461</v>
      </c>
      <c r="W132" s="26" t="s">
        <v>695</v>
      </c>
    </row>
    <row r="133" spans="13:23" x14ac:dyDescent="0.35">
      <c r="M133" s="11" t="s">
        <v>757</v>
      </c>
      <c r="N133" s="11" t="s">
        <v>467</v>
      </c>
      <c r="O133" s="11" t="s">
        <v>733</v>
      </c>
      <c r="P133" s="11" t="s">
        <v>496</v>
      </c>
      <c r="Q133" s="11"/>
      <c r="R133" s="11" t="s">
        <v>709</v>
      </c>
      <c r="S133" s="11" t="s">
        <v>812</v>
      </c>
      <c r="T133" s="11" t="s">
        <v>787</v>
      </c>
      <c r="U133" s="11" t="s">
        <v>461</v>
      </c>
      <c r="V133" s="11" t="s">
        <v>461</v>
      </c>
      <c r="W133" s="26" t="s">
        <v>695</v>
      </c>
    </row>
    <row r="134" spans="13:23" x14ac:dyDescent="0.35">
      <c r="M134" s="11" t="s">
        <v>757</v>
      </c>
      <c r="N134" s="11" t="s">
        <v>467</v>
      </c>
      <c r="O134" s="11" t="s">
        <v>734</v>
      </c>
      <c r="P134" s="11" t="s">
        <v>544</v>
      </c>
      <c r="Q134" s="11"/>
      <c r="R134" s="11" t="s">
        <v>709</v>
      </c>
      <c r="S134" s="11" t="s">
        <v>813</v>
      </c>
      <c r="T134" s="11" t="s">
        <v>787</v>
      </c>
      <c r="U134" s="11" t="s">
        <v>461</v>
      </c>
      <c r="V134" s="11" t="s">
        <v>461</v>
      </c>
      <c r="W134" s="26" t="s">
        <v>695</v>
      </c>
    </row>
    <row r="135" spans="13:23" x14ac:dyDescent="0.35">
      <c r="M135" s="11" t="s">
        <v>757</v>
      </c>
      <c r="N135" s="11" t="s">
        <v>467</v>
      </c>
      <c r="O135" s="11" t="s">
        <v>733</v>
      </c>
      <c r="P135" s="11" t="s">
        <v>490</v>
      </c>
      <c r="Q135" s="11"/>
      <c r="R135" s="11" t="s">
        <v>709</v>
      </c>
      <c r="S135" s="11" t="s">
        <v>814</v>
      </c>
      <c r="T135" s="11" t="s">
        <v>787</v>
      </c>
      <c r="U135" s="11" t="s">
        <v>461</v>
      </c>
      <c r="V135" s="11" t="s">
        <v>461</v>
      </c>
      <c r="W135" s="26" t="s">
        <v>695</v>
      </c>
    </row>
    <row r="136" spans="13:23" x14ac:dyDescent="0.35">
      <c r="M136" s="11" t="s">
        <v>757</v>
      </c>
      <c r="N136" s="11" t="s">
        <v>467</v>
      </c>
      <c r="O136" s="11" t="s">
        <v>735</v>
      </c>
      <c r="P136" s="11" t="s">
        <v>548</v>
      </c>
      <c r="Q136" s="11"/>
      <c r="R136" s="11" t="s">
        <v>709</v>
      </c>
      <c r="S136" s="11" t="s">
        <v>815</v>
      </c>
      <c r="T136" s="11" t="s">
        <v>787</v>
      </c>
      <c r="U136" s="11" t="s">
        <v>461</v>
      </c>
      <c r="V136" s="11" t="s">
        <v>461</v>
      </c>
      <c r="W136" s="26" t="s">
        <v>695</v>
      </c>
    </row>
    <row r="137" spans="13:23" x14ac:dyDescent="0.35">
      <c r="M137" s="11" t="s">
        <v>757</v>
      </c>
      <c r="N137" s="11" t="s">
        <v>467</v>
      </c>
      <c r="O137" s="11" t="s">
        <v>736</v>
      </c>
      <c r="P137" s="11" t="s">
        <v>493</v>
      </c>
      <c r="Q137" s="11"/>
      <c r="R137" s="11" t="s">
        <v>709</v>
      </c>
      <c r="S137" s="11" t="s">
        <v>816</v>
      </c>
      <c r="T137" s="11" t="s">
        <v>787</v>
      </c>
      <c r="U137" s="11" t="s">
        <v>461</v>
      </c>
      <c r="V137" s="11" t="s">
        <v>461</v>
      </c>
      <c r="W137" s="26" t="s">
        <v>695</v>
      </c>
    </row>
    <row r="138" spans="13:23" x14ac:dyDescent="0.35">
      <c r="M138" s="11" t="s">
        <v>757</v>
      </c>
      <c r="N138" s="11" t="s">
        <v>467</v>
      </c>
      <c r="O138" s="11" t="s">
        <v>737</v>
      </c>
      <c r="P138" s="11" t="s">
        <v>533</v>
      </c>
      <c r="Q138" s="11"/>
      <c r="R138" s="11" t="s">
        <v>709</v>
      </c>
      <c r="S138" s="11" t="s">
        <v>817</v>
      </c>
      <c r="T138" s="11" t="s">
        <v>787</v>
      </c>
      <c r="U138" s="11" t="s">
        <v>461</v>
      </c>
      <c r="V138" s="11" t="s">
        <v>461</v>
      </c>
      <c r="W138" s="26" t="s">
        <v>695</v>
      </c>
    </row>
    <row r="139" spans="13:23" x14ac:dyDescent="0.35">
      <c r="M139" s="11" t="s">
        <v>757</v>
      </c>
      <c r="N139" s="11" t="s">
        <v>467</v>
      </c>
      <c r="O139" s="11" t="s">
        <v>738</v>
      </c>
      <c r="P139" s="11" t="s">
        <v>471</v>
      </c>
      <c r="Q139" s="11"/>
      <c r="R139" s="11" t="s">
        <v>709</v>
      </c>
      <c r="S139" s="11" t="s">
        <v>818</v>
      </c>
      <c r="T139" s="11" t="s">
        <v>787</v>
      </c>
      <c r="U139" s="11" t="s">
        <v>461</v>
      </c>
      <c r="V139" s="11" t="s">
        <v>461</v>
      </c>
      <c r="W139" s="26" t="s">
        <v>695</v>
      </c>
    </row>
    <row r="140" spans="13:23" x14ac:dyDescent="0.35">
      <c r="M140" s="11" t="s">
        <v>757</v>
      </c>
      <c r="N140" s="11" t="s">
        <v>467</v>
      </c>
      <c r="O140" s="11" t="s">
        <v>722</v>
      </c>
      <c r="P140" s="11" t="s">
        <v>508</v>
      </c>
      <c r="Q140" s="11"/>
      <c r="R140" s="11" t="s">
        <v>709</v>
      </c>
      <c r="S140" s="11" t="s">
        <v>819</v>
      </c>
      <c r="T140" s="11" t="s">
        <v>787</v>
      </c>
      <c r="U140" s="11" t="s">
        <v>461</v>
      </c>
      <c r="V140" s="11" t="s">
        <v>461</v>
      </c>
      <c r="W140" s="26" t="s">
        <v>695</v>
      </c>
    </row>
    <row r="141" spans="13:23" x14ac:dyDescent="0.35">
      <c r="M141" s="11" t="s">
        <v>757</v>
      </c>
      <c r="N141" s="11" t="s">
        <v>467</v>
      </c>
      <c r="O141" s="11" t="s">
        <v>722</v>
      </c>
      <c r="P141" s="11" t="s">
        <v>535</v>
      </c>
      <c r="Q141" s="11"/>
      <c r="R141" s="11" t="s">
        <v>709</v>
      </c>
      <c r="S141" s="11" t="s">
        <v>820</v>
      </c>
      <c r="T141" s="11" t="s">
        <v>787</v>
      </c>
      <c r="U141" s="11" t="s">
        <v>461</v>
      </c>
      <c r="V141" s="11" t="s">
        <v>461</v>
      </c>
      <c r="W141" s="26" t="s">
        <v>695</v>
      </c>
    </row>
    <row r="142" spans="13:23" x14ac:dyDescent="0.35">
      <c r="M142" s="11" t="s">
        <v>757</v>
      </c>
      <c r="N142" s="11" t="s">
        <v>467</v>
      </c>
      <c r="O142" s="11" t="s">
        <v>739</v>
      </c>
      <c r="P142" s="11" t="s">
        <v>521</v>
      </c>
      <c r="Q142" s="11"/>
      <c r="R142" s="11" t="s">
        <v>709</v>
      </c>
      <c r="S142" s="11" t="s">
        <v>821</v>
      </c>
      <c r="T142" s="11" t="s">
        <v>787</v>
      </c>
      <c r="U142" s="11" t="s">
        <v>461</v>
      </c>
      <c r="V142" s="11" t="s">
        <v>461</v>
      </c>
      <c r="W142" s="26" t="s">
        <v>695</v>
      </c>
    </row>
    <row r="143" spans="13:23" x14ac:dyDescent="0.35">
      <c r="M143" s="11" t="s">
        <v>757</v>
      </c>
      <c r="N143" s="11" t="s">
        <v>467</v>
      </c>
      <c r="O143" s="11" t="s">
        <v>740</v>
      </c>
      <c r="P143" s="11" t="s">
        <v>524</v>
      </c>
      <c r="Q143" s="11"/>
      <c r="R143" s="11" t="s">
        <v>709</v>
      </c>
      <c r="S143" s="11" t="s">
        <v>822</v>
      </c>
      <c r="T143" s="11" t="s">
        <v>787</v>
      </c>
      <c r="U143" s="11" t="s">
        <v>461</v>
      </c>
      <c r="V143" s="11" t="s">
        <v>461</v>
      </c>
      <c r="W143" s="26" t="s">
        <v>695</v>
      </c>
    </row>
    <row r="144" spans="13:23" x14ac:dyDescent="0.35">
      <c r="M144" s="11" t="s">
        <v>757</v>
      </c>
      <c r="N144" s="11" t="s">
        <v>467</v>
      </c>
      <c r="O144" s="11" t="s">
        <v>741</v>
      </c>
      <c r="P144" s="11" t="s">
        <v>518</v>
      </c>
      <c r="Q144" s="11"/>
      <c r="R144" s="11" t="s">
        <v>709</v>
      </c>
      <c r="S144" s="11" t="s">
        <v>823</v>
      </c>
      <c r="T144" s="11" t="s">
        <v>787</v>
      </c>
      <c r="U144" s="11" t="s">
        <v>461</v>
      </c>
      <c r="V144" s="11" t="s">
        <v>461</v>
      </c>
      <c r="W144" s="26" t="s">
        <v>695</v>
      </c>
    </row>
    <row r="145" spans="13:23" x14ac:dyDescent="0.35">
      <c r="M145" s="11" t="s">
        <v>757</v>
      </c>
      <c r="N145" s="11" t="s">
        <v>467</v>
      </c>
      <c r="O145" s="11" t="s">
        <v>742</v>
      </c>
      <c r="P145" s="11" t="s">
        <v>537</v>
      </c>
      <c r="Q145" s="11"/>
      <c r="R145" s="11" t="s">
        <v>709</v>
      </c>
      <c r="S145" s="11" t="s">
        <v>824</v>
      </c>
      <c r="T145" s="11" t="s">
        <v>787</v>
      </c>
      <c r="U145" s="11" t="s">
        <v>461</v>
      </c>
      <c r="V145" s="11" t="s">
        <v>461</v>
      </c>
      <c r="W145" s="26" t="s">
        <v>695</v>
      </c>
    </row>
    <row r="146" spans="13:23" x14ac:dyDescent="0.35">
      <c r="M146" s="11" t="s">
        <v>757</v>
      </c>
      <c r="N146" s="11" t="s">
        <v>467</v>
      </c>
      <c r="O146" s="11" t="s">
        <v>743</v>
      </c>
      <c r="P146" s="11" t="s">
        <v>530</v>
      </c>
      <c r="Q146" s="11"/>
      <c r="R146" s="11" t="s">
        <v>709</v>
      </c>
      <c r="S146" s="11" t="s">
        <v>825</v>
      </c>
      <c r="T146" s="11" t="s">
        <v>787</v>
      </c>
      <c r="U146" s="11" t="s">
        <v>461</v>
      </c>
      <c r="V146" s="11" t="s">
        <v>461</v>
      </c>
      <c r="W146" s="26" t="s">
        <v>695</v>
      </c>
    </row>
    <row r="147" spans="13:23" x14ac:dyDescent="0.35">
      <c r="M147" s="11" t="s">
        <v>757</v>
      </c>
      <c r="N147" s="11" t="s">
        <v>467</v>
      </c>
      <c r="O147" s="11" t="s">
        <v>744</v>
      </c>
      <c r="P147" s="11" t="s">
        <v>542</v>
      </c>
      <c r="Q147" s="11"/>
      <c r="R147" s="11" t="s">
        <v>709</v>
      </c>
      <c r="S147" s="11" t="s">
        <v>826</v>
      </c>
      <c r="T147" s="11" t="s">
        <v>787</v>
      </c>
      <c r="U147" s="11" t="s">
        <v>461</v>
      </c>
      <c r="V147" s="11" t="s">
        <v>461</v>
      </c>
      <c r="W147" s="26" t="s">
        <v>695</v>
      </c>
    </row>
    <row r="148" spans="13:23" x14ac:dyDescent="0.35">
      <c r="M148" s="11" t="s">
        <v>757</v>
      </c>
      <c r="N148" s="11" t="s">
        <v>467</v>
      </c>
      <c r="O148" s="11" t="s">
        <v>745</v>
      </c>
      <c r="P148" s="11" t="s">
        <v>512</v>
      </c>
      <c r="Q148" s="11"/>
      <c r="R148" s="11" t="s">
        <v>709</v>
      </c>
      <c r="S148" s="11" t="s">
        <v>827</v>
      </c>
      <c r="T148" s="11" t="s">
        <v>787</v>
      </c>
      <c r="U148" s="11" t="s">
        <v>461</v>
      </c>
      <c r="V148" s="11" t="s">
        <v>461</v>
      </c>
      <c r="W148" s="26" t="s">
        <v>695</v>
      </c>
    </row>
    <row r="149" spans="13:23" x14ac:dyDescent="0.35">
      <c r="M149" s="11" t="s">
        <v>757</v>
      </c>
      <c r="N149" s="11" t="s">
        <v>467</v>
      </c>
      <c r="O149" s="11" t="s">
        <v>746</v>
      </c>
      <c r="P149" s="11" t="s">
        <v>553</v>
      </c>
      <c r="Q149" s="11"/>
      <c r="R149" s="11" t="s">
        <v>709</v>
      </c>
      <c r="S149" s="11" t="s">
        <v>828</v>
      </c>
      <c r="T149" s="11" t="s">
        <v>787</v>
      </c>
      <c r="U149" s="11" t="s">
        <v>461</v>
      </c>
      <c r="V149" s="11" t="s">
        <v>461</v>
      </c>
      <c r="W149" s="26" t="s">
        <v>695</v>
      </c>
    </row>
    <row r="150" spans="13:23" x14ac:dyDescent="0.35">
      <c r="M150" s="11" t="s">
        <v>757</v>
      </c>
      <c r="N150" s="11" t="s">
        <v>467</v>
      </c>
      <c r="O150" s="11" t="s">
        <v>747</v>
      </c>
      <c r="P150" s="11" t="s">
        <v>503</v>
      </c>
      <c r="Q150" s="11"/>
      <c r="R150" s="11" t="s">
        <v>709</v>
      </c>
      <c r="S150" s="11" t="s">
        <v>829</v>
      </c>
      <c r="T150" s="11" t="s">
        <v>787</v>
      </c>
      <c r="U150" s="11" t="s">
        <v>461</v>
      </c>
      <c r="V150" s="11" t="s">
        <v>461</v>
      </c>
      <c r="W150" s="26" t="s">
        <v>695</v>
      </c>
    </row>
    <row r="151" spans="13:23" x14ac:dyDescent="0.35">
      <c r="M151" s="11" t="s">
        <v>757</v>
      </c>
      <c r="N151" s="11" t="s">
        <v>467</v>
      </c>
      <c r="O151" s="11" t="s">
        <v>675</v>
      </c>
      <c r="P151" s="11" t="s">
        <v>517</v>
      </c>
      <c r="Q151" s="11"/>
      <c r="R151" s="11" t="s">
        <v>709</v>
      </c>
      <c r="S151" s="11" t="s">
        <v>830</v>
      </c>
      <c r="T151" s="11" t="s">
        <v>787</v>
      </c>
      <c r="U151" s="11" t="s">
        <v>461</v>
      </c>
      <c r="V151" s="11" t="s">
        <v>461</v>
      </c>
      <c r="W151" s="26" t="s">
        <v>695</v>
      </c>
    </row>
    <row r="152" spans="13:23" x14ac:dyDescent="0.35">
      <c r="M152" s="11" t="s">
        <v>757</v>
      </c>
      <c r="N152" s="11" t="s">
        <v>467</v>
      </c>
      <c r="O152" s="11" t="s">
        <v>664</v>
      </c>
      <c r="P152" s="11" t="s">
        <v>519</v>
      </c>
      <c r="Q152" s="11"/>
      <c r="R152" s="11" t="s">
        <v>709</v>
      </c>
      <c r="S152" s="11" t="s">
        <v>831</v>
      </c>
      <c r="T152" s="11" t="s">
        <v>787</v>
      </c>
      <c r="U152" s="11" t="s">
        <v>461</v>
      </c>
      <c r="V152" s="11" t="s">
        <v>461</v>
      </c>
      <c r="W152" s="26" t="s">
        <v>695</v>
      </c>
    </row>
    <row r="153" spans="13:23" x14ac:dyDescent="0.35">
      <c r="M153" s="11" t="s">
        <v>757</v>
      </c>
      <c r="N153" s="11" t="s">
        <v>467</v>
      </c>
      <c r="O153" s="11" t="s">
        <v>748</v>
      </c>
      <c r="P153" s="11" t="s">
        <v>502</v>
      </c>
      <c r="Q153" s="11"/>
      <c r="R153" s="11" t="s">
        <v>709</v>
      </c>
      <c r="S153" s="11" t="s">
        <v>832</v>
      </c>
      <c r="T153" s="11" t="s">
        <v>787</v>
      </c>
      <c r="U153" s="11" t="s">
        <v>461</v>
      </c>
      <c r="V153" s="11" t="s">
        <v>461</v>
      </c>
      <c r="W153" s="26" t="s">
        <v>695</v>
      </c>
    </row>
    <row r="154" spans="13:23" x14ac:dyDescent="0.35">
      <c r="M154" s="11" t="s">
        <v>757</v>
      </c>
      <c r="N154" s="11" t="s">
        <v>467</v>
      </c>
      <c r="O154" s="11" t="s">
        <v>675</v>
      </c>
      <c r="P154" s="11" t="s">
        <v>531</v>
      </c>
      <c r="Q154" s="11"/>
      <c r="R154" s="11" t="s">
        <v>709</v>
      </c>
      <c r="S154" s="11" t="s">
        <v>833</v>
      </c>
      <c r="T154" s="11" t="s">
        <v>787</v>
      </c>
      <c r="U154" s="11" t="s">
        <v>461</v>
      </c>
      <c r="V154" s="11" t="s">
        <v>461</v>
      </c>
      <c r="W154" s="26" t="s">
        <v>695</v>
      </c>
    </row>
    <row r="155" spans="13:23" x14ac:dyDescent="0.35">
      <c r="M155" s="11" t="s">
        <v>757</v>
      </c>
      <c r="N155" s="11" t="s">
        <v>467</v>
      </c>
      <c r="O155" s="11" t="s">
        <v>664</v>
      </c>
      <c r="P155" s="11" t="s">
        <v>511</v>
      </c>
      <c r="Q155" s="11"/>
      <c r="R155" s="11" t="s">
        <v>709</v>
      </c>
      <c r="S155" s="11" t="s">
        <v>834</v>
      </c>
      <c r="T155" s="11" t="s">
        <v>787</v>
      </c>
      <c r="U155" s="11" t="s">
        <v>461</v>
      </c>
      <c r="V155" s="11" t="s">
        <v>461</v>
      </c>
      <c r="W155" s="26" t="s">
        <v>695</v>
      </c>
    </row>
    <row r="156" spans="13:23" x14ac:dyDescent="0.35">
      <c r="M156" s="11" t="s">
        <v>757</v>
      </c>
      <c r="N156" s="11" t="s">
        <v>467</v>
      </c>
      <c r="O156" s="11" t="s">
        <v>667</v>
      </c>
      <c r="P156" s="11" t="s">
        <v>472</v>
      </c>
      <c r="Q156" s="11"/>
      <c r="R156" s="11" t="s">
        <v>709</v>
      </c>
      <c r="S156" s="11" t="s">
        <v>835</v>
      </c>
      <c r="T156" s="11" t="s">
        <v>787</v>
      </c>
      <c r="U156" s="11" t="s">
        <v>461</v>
      </c>
      <c r="V156" s="11" t="s">
        <v>461</v>
      </c>
      <c r="W156" s="26" t="s">
        <v>695</v>
      </c>
    </row>
    <row r="157" spans="13:23" x14ac:dyDescent="0.35">
      <c r="M157" s="11" t="s">
        <v>757</v>
      </c>
      <c r="N157" s="11" t="s">
        <v>467</v>
      </c>
      <c r="O157" s="11" t="s">
        <v>749</v>
      </c>
      <c r="P157" s="11" t="s">
        <v>482</v>
      </c>
      <c r="Q157" s="11"/>
      <c r="R157" s="11" t="s">
        <v>709</v>
      </c>
      <c r="S157" s="11" t="s">
        <v>836</v>
      </c>
      <c r="T157" s="11" t="s">
        <v>787</v>
      </c>
      <c r="U157" s="11" t="s">
        <v>461</v>
      </c>
      <c r="V157" s="11" t="s">
        <v>461</v>
      </c>
      <c r="W157" s="26" t="s">
        <v>695</v>
      </c>
    </row>
    <row r="158" spans="13:23" x14ac:dyDescent="0.35">
      <c r="M158" s="11" t="s">
        <v>757</v>
      </c>
      <c r="N158" s="11" t="s">
        <v>467</v>
      </c>
      <c r="O158" s="11" t="s">
        <v>750</v>
      </c>
      <c r="P158" s="11" t="s">
        <v>489</v>
      </c>
      <c r="Q158" s="11"/>
      <c r="R158" s="11" t="s">
        <v>709</v>
      </c>
      <c r="S158" s="11" t="s">
        <v>837</v>
      </c>
      <c r="T158" s="11" t="s">
        <v>787</v>
      </c>
      <c r="U158" s="11" t="s">
        <v>461</v>
      </c>
      <c r="V158" s="11" t="s">
        <v>461</v>
      </c>
      <c r="W158" s="26" t="s">
        <v>695</v>
      </c>
    </row>
    <row r="159" spans="13:23" x14ac:dyDescent="0.35">
      <c r="M159" s="11" t="s">
        <v>757</v>
      </c>
      <c r="N159" s="11" t="s">
        <v>467</v>
      </c>
      <c r="O159" s="11" t="s">
        <v>726</v>
      </c>
      <c r="P159" s="11" t="s">
        <v>541</v>
      </c>
      <c r="Q159" s="11"/>
      <c r="R159" s="11" t="s">
        <v>709</v>
      </c>
      <c r="S159" s="11" t="s">
        <v>838</v>
      </c>
      <c r="T159" s="11" t="s">
        <v>787</v>
      </c>
      <c r="U159" s="11" t="s">
        <v>461</v>
      </c>
      <c r="V159" s="11" t="s">
        <v>461</v>
      </c>
      <c r="W159" s="26" t="s">
        <v>695</v>
      </c>
    </row>
    <row r="160" spans="13:23" x14ac:dyDescent="0.35">
      <c r="M160" s="11" t="s">
        <v>757</v>
      </c>
      <c r="N160" s="11" t="s">
        <v>467</v>
      </c>
      <c r="O160" s="11" t="s">
        <v>751</v>
      </c>
      <c r="P160" s="11" t="s">
        <v>313</v>
      </c>
      <c r="Q160" s="11"/>
      <c r="R160" s="11" t="s">
        <v>709</v>
      </c>
      <c r="S160" s="11" t="s">
        <v>839</v>
      </c>
      <c r="T160" s="11" t="s">
        <v>787</v>
      </c>
      <c r="U160" s="11" t="s">
        <v>461</v>
      </c>
      <c r="V160" s="11" t="s">
        <v>461</v>
      </c>
      <c r="W160" s="26" t="s">
        <v>695</v>
      </c>
    </row>
    <row r="161" spans="13:23" x14ac:dyDescent="0.35">
      <c r="M161" s="11" t="s">
        <v>757</v>
      </c>
      <c r="N161" s="11" t="s">
        <v>467</v>
      </c>
      <c r="O161" s="11" t="s">
        <v>752</v>
      </c>
      <c r="P161" s="11" t="s">
        <v>536</v>
      </c>
      <c r="Q161" s="11"/>
      <c r="R161" s="11" t="s">
        <v>709</v>
      </c>
      <c r="S161" s="11" t="s">
        <v>840</v>
      </c>
      <c r="T161" s="11" t="s">
        <v>787</v>
      </c>
      <c r="U161" s="11" t="s">
        <v>461</v>
      </c>
      <c r="V161" s="11" t="s">
        <v>461</v>
      </c>
      <c r="W161" s="26" t="s">
        <v>695</v>
      </c>
    </row>
    <row r="162" spans="13:23" x14ac:dyDescent="0.35">
      <c r="M162" s="11" t="s">
        <v>757</v>
      </c>
      <c r="N162" s="11" t="s">
        <v>467</v>
      </c>
      <c r="O162" s="11" t="s">
        <v>753</v>
      </c>
      <c r="P162" s="11" t="s">
        <v>551</v>
      </c>
      <c r="Q162" s="11"/>
      <c r="R162" s="11" t="s">
        <v>709</v>
      </c>
      <c r="S162" s="11" t="s">
        <v>841</v>
      </c>
      <c r="T162" s="11" t="s">
        <v>787</v>
      </c>
      <c r="U162" s="11" t="s">
        <v>461</v>
      </c>
      <c r="V162" s="11" t="s">
        <v>461</v>
      </c>
      <c r="W162" s="26" t="s">
        <v>695</v>
      </c>
    </row>
    <row r="163" spans="13:23" x14ac:dyDescent="0.35">
      <c r="M163" s="11" t="s">
        <v>757</v>
      </c>
      <c r="N163" s="11" t="s">
        <v>467</v>
      </c>
      <c r="O163" s="11" t="s">
        <v>754</v>
      </c>
      <c r="P163" s="11" t="s">
        <v>546</v>
      </c>
      <c r="Q163" s="11"/>
      <c r="R163" s="11" t="s">
        <v>709</v>
      </c>
      <c r="S163" s="11" t="s">
        <v>842</v>
      </c>
      <c r="T163" s="11" t="s">
        <v>787</v>
      </c>
      <c r="U163" s="11" t="s">
        <v>461</v>
      </c>
      <c r="V163" s="11" t="s">
        <v>461</v>
      </c>
      <c r="W163" s="26" t="s">
        <v>695</v>
      </c>
    </row>
    <row r="164" spans="13:23" x14ac:dyDescent="0.35">
      <c r="M164" s="11" t="s">
        <v>757</v>
      </c>
      <c r="N164" s="11" t="s">
        <v>467</v>
      </c>
      <c r="O164" s="11" t="s">
        <v>733</v>
      </c>
      <c r="P164" s="11" t="s">
        <v>540</v>
      </c>
      <c r="Q164" s="11"/>
      <c r="R164" s="11" t="s">
        <v>709</v>
      </c>
      <c r="S164" s="11" t="s">
        <v>843</v>
      </c>
      <c r="T164" s="11" t="s">
        <v>787</v>
      </c>
      <c r="U164" s="11" t="s">
        <v>461</v>
      </c>
      <c r="V164" s="11" t="s">
        <v>461</v>
      </c>
      <c r="W164" s="26" t="s">
        <v>695</v>
      </c>
    </row>
    <row r="165" spans="13:23" x14ac:dyDescent="0.35">
      <c r="M165" s="11" t="s">
        <v>757</v>
      </c>
      <c r="N165" s="11" t="s">
        <v>467</v>
      </c>
      <c r="O165" s="11" t="s">
        <v>755</v>
      </c>
      <c r="P165" s="11" t="s">
        <v>711</v>
      </c>
      <c r="Q165" s="11"/>
      <c r="R165" s="11" t="s">
        <v>709</v>
      </c>
      <c r="S165" s="11" t="s">
        <v>844</v>
      </c>
      <c r="T165" s="11" t="s">
        <v>787</v>
      </c>
      <c r="U165" s="11" t="s">
        <v>461</v>
      </c>
      <c r="V165" s="11" t="s">
        <v>461</v>
      </c>
      <c r="W165" s="26" t="s">
        <v>695</v>
      </c>
    </row>
    <row r="166" spans="13:23" x14ac:dyDescent="0.35">
      <c r="M166" s="11" t="s">
        <v>757</v>
      </c>
      <c r="N166" s="11" t="s">
        <v>467</v>
      </c>
      <c r="O166" s="11" t="s">
        <v>756</v>
      </c>
      <c r="P166" s="11" t="s">
        <v>712</v>
      </c>
      <c r="Q166" s="11"/>
      <c r="R166" s="11" t="s">
        <v>709</v>
      </c>
      <c r="S166" s="11" t="s">
        <v>845</v>
      </c>
      <c r="T166" s="11" t="s">
        <v>787</v>
      </c>
      <c r="U166" s="11" t="s">
        <v>461</v>
      </c>
      <c r="V166" s="11" t="s">
        <v>461</v>
      </c>
      <c r="W166" s="26" t="s">
        <v>695</v>
      </c>
    </row>
    <row r="167" spans="13:23" x14ac:dyDescent="0.35">
      <c r="M167" s="11" t="s">
        <v>757</v>
      </c>
      <c r="N167" s="11" t="s">
        <v>475</v>
      </c>
      <c r="O167" s="11" t="s">
        <v>475</v>
      </c>
      <c r="P167" s="11" t="s">
        <v>494</v>
      </c>
      <c r="Q167" s="11"/>
      <c r="R167" s="11" t="s">
        <v>556</v>
      </c>
      <c r="S167" s="11" t="s">
        <v>846</v>
      </c>
      <c r="T167" s="11" t="s">
        <v>787</v>
      </c>
      <c r="U167" s="11" t="s">
        <v>461</v>
      </c>
      <c r="V167" s="11" t="s">
        <v>461</v>
      </c>
      <c r="W167" s="26" t="s">
        <v>695</v>
      </c>
    </row>
    <row r="168" spans="13:23" x14ac:dyDescent="0.35">
      <c r="M168" s="11" t="s">
        <v>757</v>
      </c>
      <c r="N168" s="11" t="s">
        <v>497</v>
      </c>
      <c r="O168" s="11" t="s">
        <v>497</v>
      </c>
      <c r="P168" s="11" t="s">
        <v>539</v>
      </c>
      <c r="Q168" s="11"/>
      <c r="R168" s="11" t="s">
        <v>556</v>
      </c>
      <c r="S168" s="11" t="s">
        <v>847</v>
      </c>
      <c r="T168" s="11" t="s">
        <v>787</v>
      </c>
      <c r="U168" s="11" t="s">
        <v>461</v>
      </c>
      <c r="V168" s="11" t="s">
        <v>461</v>
      </c>
      <c r="W168" s="26" t="s">
        <v>695</v>
      </c>
    </row>
    <row r="169" spans="13:23" x14ac:dyDescent="0.35">
      <c r="M169" s="11" t="s">
        <v>757</v>
      </c>
      <c r="N169" s="11" t="s">
        <v>481</v>
      </c>
      <c r="O169" s="11" t="s">
        <v>481</v>
      </c>
      <c r="P169" s="11" t="s">
        <v>506</v>
      </c>
      <c r="Q169" s="11"/>
      <c r="R169" s="11" t="s">
        <v>556</v>
      </c>
      <c r="S169" s="11" t="s">
        <v>848</v>
      </c>
      <c r="T169" s="11" t="s">
        <v>787</v>
      </c>
      <c r="U169" s="11" t="s">
        <v>461</v>
      </c>
      <c r="V169" s="11" t="s">
        <v>461</v>
      </c>
      <c r="W169" s="26" t="s">
        <v>695</v>
      </c>
    </row>
    <row r="170" spans="13:23" x14ac:dyDescent="0.35">
      <c r="M170" s="11" t="s">
        <v>757</v>
      </c>
      <c r="N170" s="11" t="s">
        <v>481</v>
      </c>
      <c r="O170" s="11" t="s">
        <v>481</v>
      </c>
      <c r="P170" s="11" t="s">
        <v>526</v>
      </c>
      <c r="Q170" s="11"/>
      <c r="R170" s="11" t="s">
        <v>556</v>
      </c>
      <c r="S170" s="11" t="s">
        <v>849</v>
      </c>
      <c r="T170" s="11" t="s">
        <v>787</v>
      </c>
      <c r="U170" s="11" t="s">
        <v>461</v>
      </c>
      <c r="V170" s="11" t="s">
        <v>461</v>
      </c>
      <c r="W170" s="26" t="s">
        <v>695</v>
      </c>
    </row>
    <row r="171" spans="13:23" x14ac:dyDescent="0.35">
      <c r="M171" s="11" t="s">
        <v>757</v>
      </c>
      <c r="N171" s="11" t="s">
        <v>479</v>
      </c>
      <c r="O171" s="11" t="s">
        <v>479</v>
      </c>
      <c r="P171" s="11" t="s">
        <v>552</v>
      </c>
      <c r="Q171" s="11"/>
      <c r="R171" s="11" t="s">
        <v>556</v>
      </c>
      <c r="S171" s="11" t="s">
        <v>850</v>
      </c>
      <c r="T171" s="11" t="s">
        <v>787</v>
      </c>
      <c r="U171" s="11" t="s">
        <v>461</v>
      </c>
      <c r="V171" s="11" t="s">
        <v>461</v>
      </c>
      <c r="W171" s="26" t="s">
        <v>695</v>
      </c>
    </row>
    <row r="172" spans="13:23" x14ac:dyDescent="0.35">
      <c r="M172" s="11" t="s">
        <v>757</v>
      </c>
      <c r="N172" s="11" t="s">
        <v>468</v>
      </c>
      <c r="O172" s="11" t="s">
        <v>468</v>
      </c>
      <c r="P172" s="11" t="s">
        <v>469</v>
      </c>
      <c r="Q172" s="11"/>
      <c r="R172" s="11" t="s">
        <v>556</v>
      </c>
      <c r="S172" s="11" t="s">
        <v>851</v>
      </c>
      <c r="T172" s="11" t="s">
        <v>787</v>
      </c>
      <c r="U172" s="11" t="s">
        <v>461</v>
      </c>
      <c r="V172" s="11" t="s">
        <v>461</v>
      </c>
      <c r="W172" s="26" t="s">
        <v>695</v>
      </c>
    </row>
    <row r="173" spans="13:23" x14ac:dyDescent="0.35">
      <c r="M173" s="11" t="s">
        <v>757</v>
      </c>
      <c r="N173" s="11" t="s">
        <v>492</v>
      </c>
      <c r="O173" s="11" t="s">
        <v>492</v>
      </c>
      <c r="P173" s="11" t="s">
        <v>529</v>
      </c>
      <c r="Q173" s="11"/>
      <c r="R173" s="11" t="s">
        <v>556</v>
      </c>
      <c r="S173" s="11" t="s">
        <v>852</v>
      </c>
      <c r="T173" s="11" t="s">
        <v>787</v>
      </c>
      <c r="U173" s="11" t="s">
        <v>461</v>
      </c>
      <c r="V173" s="11" t="s">
        <v>461</v>
      </c>
      <c r="W173" s="26" t="s">
        <v>695</v>
      </c>
    </row>
    <row r="174" spans="13:23" x14ac:dyDescent="0.35">
      <c r="M174" s="11" t="s">
        <v>757</v>
      </c>
      <c r="N174" s="11" t="s">
        <v>504</v>
      </c>
      <c r="O174" s="11" t="s">
        <v>504</v>
      </c>
      <c r="P174" s="11" t="s">
        <v>513</v>
      </c>
      <c r="Q174" s="11"/>
      <c r="R174" s="11" t="s">
        <v>556</v>
      </c>
      <c r="S174" s="11" t="s">
        <v>853</v>
      </c>
      <c r="T174" s="11" t="s">
        <v>787</v>
      </c>
      <c r="U174" s="11" t="s">
        <v>461</v>
      </c>
      <c r="V174" s="11" t="s">
        <v>461</v>
      </c>
      <c r="W174" s="26" t="s">
        <v>695</v>
      </c>
    </row>
    <row r="175" spans="13:23" x14ac:dyDescent="0.35">
      <c r="M175" s="11" t="s">
        <v>757</v>
      </c>
      <c r="N175" s="11" t="s">
        <v>504</v>
      </c>
      <c r="O175" s="11" t="s">
        <v>504</v>
      </c>
      <c r="P175" s="11" t="s">
        <v>505</v>
      </c>
      <c r="Q175" s="11"/>
      <c r="R175" s="11" t="s">
        <v>556</v>
      </c>
      <c r="S175" s="11" t="s">
        <v>854</v>
      </c>
      <c r="T175" s="11" t="s">
        <v>787</v>
      </c>
      <c r="U175" s="11" t="s">
        <v>461</v>
      </c>
      <c r="V175" s="11" t="s">
        <v>461</v>
      </c>
      <c r="W175" s="26" t="s">
        <v>695</v>
      </c>
    </row>
    <row r="176" spans="13:23" x14ac:dyDescent="0.35">
      <c r="M176" s="11" t="s">
        <v>757</v>
      </c>
      <c r="N176" s="11" t="s">
        <v>470</v>
      </c>
      <c r="O176" s="11" t="s">
        <v>470</v>
      </c>
      <c r="P176" s="11" t="s">
        <v>547</v>
      </c>
      <c r="Q176" s="11"/>
      <c r="R176" s="11" t="s">
        <v>556</v>
      </c>
      <c r="S176" s="11" t="s">
        <v>855</v>
      </c>
      <c r="T176" s="11" t="s">
        <v>787</v>
      </c>
      <c r="U176" s="11" t="s">
        <v>461</v>
      </c>
      <c r="V176" s="11" t="s">
        <v>461</v>
      </c>
      <c r="W176" s="26" t="s">
        <v>695</v>
      </c>
    </row>
    <row r="177" spans="13:23" x14ac:dyDescent="0.35">
      <c r="M177" s="11" t="s">
        <v>757</v>
      </c>
      <c r="N177" s="11" t="s">
        <v>467</v>
      </c>
      <c r="O177" s="11" t="s">
        <v>713</v>
      </c>
      <c r="P177" s="11" t="s">
        <v>500</v>
      </c>
      <c r="Q177" s="11"/>
      <c r="R177" s="11" t="s">
        <v>709</v>
      </c>
      <c r="S177" s="11" t="s">
        <v>789</v>
      </c>
      <c r="T177" s="11" t="s">
        <v>787</v>
      </c>
      <c r="U177" s="11" t="s">
        <v>461</v>
      </c>
      <c r="V177" s="11" t="s">
        <v>461</v>
      </c>
      <c r="W177" s="26" t="s">
        <v>695</v>
      </c>
    </row>
    <row r="178" spans="13:23" x14ac:dyDescent="0.35">
      <c r="M178" s="11" t="s">
        <v>757</v>
      </c>
      <c r="N178" s="11" t="s">
        <v>467</v>
      </c>
      <c r="O178" s="11" t="s">
        <v>714</v>
      </c>
      <c r="P178" s="11" t="s">
        <v>498</v>
      </c>
      <c r="Q178" s="11"/>
      <c r="R178" s="11" t="s">
        <v>709</v>
      </c>
      <c r="S178" s="11" t="s">
        <v>790</v>
      </c>
      <c r="T178" s="11" t="s">
        <v>787</v>
      </c>
      <c r="U178" s="11" t="s">
        <v>461</v>
      </c>
      <c r="V178" s="11" t="s">
        <v>461</v>
      </c>
      <c r="W178" s="26" t="s">
        <v>695</v>
      </c>
    </row>
    <row r="179" spans="13:23" x14ac:dyDescent="0.35">
      <c r="M179" s="11" t="s">
        <v>890</v>
      </c>
      <c r="N179" s="11" t="s">
        <v>467</v>
      </c>
      <c r="O179" s="11" t="s">
        <v>724</v>
      </c>
      <c r="P179" s="11" t="s">
        <v>480</v>
      </c>
      <c r="Q179" s="11"/>
      <c r="R179" s="11" t="s">
        <v>709</v>
      </c>
      <c r="S179" s="11" t="s">
        <v>856</v>
      </c>
      <c r="T179" s="11" t="s">
        <v>787</v>
      </c>
      <c r="U179" s="11" t="s">
        <v>461</v>
      </c>
      <c r="V179" s="11" t="s">
        <v>461</v>
      </c>
      <c r="W179" s="26" t="s">
        <v>695</v>
      </c>
    </row>
    <row r="180" spans="13:23" x14ac:dyDescent="0.35">
      <c r="M180" s="11" t="s">
        <v>890</v>
      </c>
      <c r="N180" s="11" t="s">
        <v>467</v>
      </c>
      <c r="O180" s="11" t="s">
        <v>667</v>
      </c>
      <c r="P180" s="11" t="s">
        <v>472</v>
      </c>
      <c r="Q180" s="11"/>
      <c r="R180" s="11" t="s">
        <v>709</v>
      </c>
      <c r="S180" s="11" t="s">
        <v>857</v>
      </c>
      <c r="T180" s="11" t="s">
        <v>787</v>
      </c>
      <c r="U180" s="11" t="s">
        <v>461</v>
      </c>
      <c r="V180" s="11" t="s">
        <v>461</v>
      </c>
      <c r="W180" s="26" t="s">
        <v>695</v>
      </c>
    </row>
    <row r="181" spans="13:23" x14ac:dyDescent="0.35">
      <c r="M181" s="11" t="s">
        <v>890</v>
      </c>
      <c r="N181" s="11" t="s">
        <v>467</v>
      </c>
      <c r="O181" s="11" t="s">
        <v>715</v>
      </c>
      <c r="P181" s="11" t="s">
        <v>486</v>
      </c>
      <c r="Q181" s="11"/>
      <c r="R181" s="11" t="s">
        <v>709</v>
      </c>
      <c r="S181" s="11" t="s">
        <v>858</v>
      </c>
      <c r="T181" s="11" t="s">
        <v>787</v>
      </c>
      <c r="U181" s="11" t="s">
        <v>461</v>
      </c>
      <c r="V181" s="11" t="s">
        <v>461</v>
      </c>
      <c r="W181" s="26" t="s">
        <v>695</v>
      </c>
    </row>
    <row r="182" spans="13:23" x14ac:dyDescent="0.35">
      <c r="M182" s="11" t="s">
        <v>890</v>
      </c>
      <c r="N182" s="11" t="s">
        <v>467</v>
      </c>
      <c r="O182" s="11" t="s">
        <v>664</v>
      </c>
      <c r="P182" s="11" t="s">
        <v>511</v>
      </c>
      <c r="Q182" s="11"/>
      <c r="R182" s="11" t="s">
        <v>709</v>
      </c>
      <c r="S182" s="11" t="s">
        <v>859</v>
      </c>
      <c r="T182" s="11" t="s">
        <v>787</v>
      </c>
      <c r="U182" s="11" t="s">
        <v>461</v>
      </c>
      <c r="V182" s="11" t="s">
        <v>461</v>
      </c>
      <c r="W182" s="26" t="s">
        <v>695</v>
      </c>
    </row>
    <row r="183" spans="13:23" x14ac:dyDescent="0.35">
      <c r="M183" s="11" t="s">
        <v>890</v>
      </c>
      <c r="N183" s="11" t="s">
        <v>467</v>
      </c>
      <c r="O183" s="11" t="s">
        <v>664</v>
      </c>
      <c r="P183" s="11" t="s">
        <v>519</v>
      </c>
      <c r="Q183" s="11"/>
      <c r="R183" s="11" t="s">
        <v>709</v>
      </c>
      <c r="S183" s="11" t="s">
        <v>860</v>
      </c>
      <c r="T183" s="11" t="s">
        <v>787</v>
      </c>
      <c r="U183" s="11" t="s">
        <v>461</v>
      </c>
      <c r="V183" s="11" t="s">
        <v>461</v>
      </c>
      <c r="W183" s="26" t="s">
        <v>695</v>
      </c>
    </row>
    <row r="184" spans="13:23" x14ac:dyDescent="0.35">
      <c r="M184" s="11" t="s">
        <v>890</v>
      </c>
      <c r="N184" s="11" t="s">
        <v>467</v>
      </c>
      <c r="O184" s="11" t="s">
        <v>739</v>
      </c>
      <c r="P184" s="11" t="s">
        <v>521</v>
      </c>
      <c r="Q184" s="11"/>
      <c r="R184" s="11" t="s">
        <v>709</v>
      </c>
      <c r="S184" s="11" t="s">
        <v>861</v>
      </c>
      <c r="T184" s="11" t="s">
        <v>787</v>
      </c>
      <c r="U184" s="11" t="s">
        <v>461</v>
      </c>
      <c r="V184" s="11" t="s">
        <v>461</v>
      </c>
      <c r="W184" s="26" t="s">
        <v>695</v>
      </c>
    </row>
    <row r="185" spans="13:23" x14ac:dyDescent="0.35">
      <c r="M185" s="11" t="s">
        <v>890</v>
      </c>
      <c r="N185" s="11" t="s">
        <v>467</v>
      </c>
      <c r="O185" s="11" t="s">
        <v>721</v>
      </c>
      <c r="P185" s="11" t="s">
        <v>528</v>
      </c>
      <c r="Q185" s="11"/>
      <c r="R185" s="11" t="s">
        <v>709</v>
      </c>
      <c r="S185" s="11" t="s">
        <v>862</v>
      </c>
      <c r="T185" s="11" t="s">
        <v>787</v>
      </c>
      <c r="U185" s="11" t="s">
        <v>461</v>
      </c>
      <c r="V185" s="11" t="s">
        <v>461</v>
      </c>
      <c r="W185" s="26" t="s">
        <v>695</v>
      </c>
    </row>
    <row r="186" spans="13:23" x14ac:dyDescent="0.35">
      <c r="M186" s="11" t="s">
        <v>890</v>
      </c>
      <c r="N186" s="11" t="s">
        <v>467</v>
      </c>
      <c r="O186" s="11" t="s">
        <v>718</v>
      </c>
      <c r="P186" s="11" t="s">
        <v>710</v>
      </c>
      <c r="Q186" s="11"/>
      <c r="R186" s="11" t="s">
        <v>709</v>
      </c>
      <c r="S186" s="11" t="s">
        <v>863</v>
      </c>
      <c r="T186" s="11" t="s">
        <v>787</v>
      </c>
      <c r="U186" s="11" t="s">
        <v>461</v>
      </c>
      <c r="V186" s="11" t="s">
        <v>461</v>
      </c>
      <c r="W186" s="26" t="s">
        <v>695</v>
      </c>
    </row>
    <row r="187" spans="13:23" x14ac:dyDescent="0.35">
      <c r="M187" s="11" t="s">
        <v>890</v>
      </c>
      <c r="N187" s="11" t="s">
        <v>467</v>
      </c>
      <c r="O187" s="11" t="s">
        <v>733</v>
      </c>
      <c r="P187" s="11" t="s">
        <v>490</v>
      </c>
      <c r="Q187" s="11"/>
      <c r="R187" s="11" t="s">
        <v>709</v>
      </c>
      <c r="S187" s="11" t="s">
        <v>864</v>
      </c>
      <c r="T187" s="11" t="s">
        <v>787</v>
      </c>
      <c r="U187" s="11" t="s">
        <v>461</v>
      </c>
      <c r="V187" s="11" t="s">
        <v>461</v>
      </c>
      <c r="W187" s="26" t="s">
        <v>695</v>
      </c>
    </row>
    <row r="188" spans="13:23" x14ac:dyDescent="0.35">
      <c r="M188" s="11" t="s">
        <v>890</v>
      </c>
      <c r="N188" s="11" t="s">
        <v>467</v>
      </c>
      <c r="O188" s="11" t="s">
        <v>743</v>
      </c>
      <c r="P188" s="11" t="s">
        <v>530</v>
      </c>
      <c r="Q188" s="11"/>
      <c r="R188" s="11" t="s">
        <v>709</v>
      </c>
      <c r="S188" s="11" t="s">
        <v>865</v>
      </c>
      <c r="T188" s="11" t="s">
        <v>787</v>
      </c>
      <c r="U188" s="11" t="s">
        <v>461</v>
      </c>
      <c r="V188" s="11" t="s">
        <v>461</v>
      </c>
      <c r="W188" s="26" t="s">
        <v>695</v>
      </c>
    </row>
    <row r="189" spans="13:23" x14ac:dyDescent="0.35">
      <c r="M189" s="11" t="s">
        <v>890</v>
      </c>
      <c r="N189" s="11" t="s">
        <v>467</v>
      </c>
      <c r="O189" s="11" t="s">
        <v>756</v>
      </c>
      <c r="P189" s="11" t="s">
        <v>712</v>
      </c>
      <c r="Q189" s="11"/>
      <c r="R189" s="11" t="s">
        <v>709</v>
      </c>
      <c r="S189" s="11" t="s">
        <v>866</v>
      </c>
      <c r="T189" s="11" t="s">
        <v>787</v>
      </c>
      <c r="U189" s="11" t="s">
        <v>461</v>
      </c>
      <c r="V189" s="11" t="s">
        <v>461</v>
      </c>
      <c r="W189" s="26" t="s">
        <v>695</v>
      </c>
    </row>
    <row r="190" spans="13:23" x14ac:dyDescent="0.35">
      <c r="M190" s="11" t="s">
        <v>890</v>
      </c>
      <c r="N190" s="11" t="s">
        <v>467</v>
      </c>
      <c r="O190" s="11" t="s">
        <v>720</v>
      </c>
      <c r="P190" s="11" t="s">
        <v>487</v>
      </c>
      <c r="Q190" s="11"/>
      <c r="R190" s="11" t="s">
        <v>709</v>
      </c>
      <c r="S190" s="11" t="s">
        <v>867</v>
      </c>
      <c r="T190" s="11" t="s">
        <v>787</v>
      </c>
      <c r="U190" s="11" t="s">
        <v>461</v>
      </c>
      <c r="V190" s="11" t="s">
        <v>461</v>
      </c>
      <c r="W190" s="26" t="s">
        <v>695</v>
      </c>
    </row>
    <row r="191" spans="13:23" x14ac:dyDescent="0.35">
      <c r="M191" s="11" t="s">
        <v>890</v>
      </c>
      <c r="N191" s="11" t="s">
        <v>467</v>
      </c>
      <c r="O191" s="11" t="s">
        <v>727</v>
      </c>
      <c r="P191" s="11" t="s">
        <v>527</v>
      </c>
      <c r="Q191" s="11"/>
      <c r="R191" s="11" t="s">
        <v>709</v>
      </c>
      <c r="S191" s="11" t="s">
        <v>868</v>
      </c>
      <c r="T191" s="11" t="s">
        <v>787</v>
      </c>
      <c r="U191" s="11" t="s">
        <v>461</v>
      </c>
      <c r="V191" s="11" t="s">
        <v>461</v>
      </c>
      <c r="W191" s="26" t="s">
        <v>695</v>
      </c>
    </row>
    <row r="192" spans="13:23" x14ac:dyDescent="0.35">
      <c r="M192" s="11" t="s">
        <v>890</v>
      </c>
      <c r="N192" s="11" t="s">
        <v>467</v>
      </c>
      <c r="O192" s="11" t="s">
        <v>729</v>
      </c>
      <c r="P192" s="11" t="s">
        <v>543</v>
      </c>
      <c r="Q192" s="11"/>
      <c r="R192" s="11" t="s">
        <v>709</v>
      </c>
      <c r="S192" s="11" t="s">
        <v>869</v>
      </c>
      <c r="T192" s="11" t="s">
        <v>787</v>
      </c>
      <c r="U192" s="11" t="s">
        <v>461</v>
      </c>
      <c r="V192" s="11" t="s">
        <v>461</v>
      </c>
      <c r="W192" s="26" t="s">
        <v>695</v>
      </c>
    </row>
    <row r="193" spans="13:23" x14ac:dyDescent="0.35">
      <c r="M193" s="11" t="s">
        <v>890</v>
      </c>
      <c r="N193" s="11" t="s">
        <v>467</v>
      </c>
      <c r="O193" s="11" t="s">
        <v>754</v>
      </c>
      <c r="P193" s="11" t="s">
        <v>546</v>
      </c>
      <c r="Q193" s="11"/>
      <c r="R193" s="11" t="s">
        <v>709</v>
      </c>
      <c r="S193" s="11" t="s">
        <v>870</v>
      </c>
      <c r="T193" s="11" t="s">
        <v>787</v>
      </c>
      <c r="U193" s="11" t="s">
        <v>461</v>
      </c>
      <c r="V193" s="11" t="s">
        <v>461</v>
      </c>
      <c r="W193" s="26" t="s">
        <v>695</v>
      </c>
    </row>
    <row r="194" spans="13:23" x14ac:dyDescent="0.35">
      <c r="M194" s="11" t="s">
        <v>890</v>
      </c>
      <c r="N194" s="11" t="s">
        <v>467</v>
      </c>
      <c r="O194" s="11" t="s">
        <v>732</v>
      </c>
      <c r="P194" s="11" t="s">
        <v>549</v>
      </c>
      <c r="Q194" s="11"/>
      <c r="R194" s="11" t="s">
        <v>709</v>
      </c>
      <c r="S194" s="11" t="s">
        <v>871</v>
      </c>
      <c r="T194" s="11" t="s">
        <v>787</v>
      </c>
      <c r="U194" s="11" t="s">
        <v>461</v>
      </c>
      <c r="V194" s="11" t="s">
        <v>461</v>
      </c>
      <c r="W194" s="26" t="s">
        <v>695</v>
      </c>
    </row>
    <row r="195" spans="13:23" x14ac:dyDescent="0.35">
      <c r="M195" s="11" t="s">
        <v>890</v>
      </c>
      <c r="N195" s="11" t="s">
        <v>467</v>
      </c>
      <c r="O195" s="11" t="s">
        <v>748</v>
      </c>
      <c r="P195" s="11" t="s">
        <v>502</v>
      </c>
      <c r="Q195" s="11"/>
      <c r="R195" s="11" t="s">
        <v>709</v>
      </c>
      <c r="S195" s="11" t="s">
        <v>872</v>
      </c>
      <c r="T195" s="11" t="s">
        <v>787</v>
      </c>
      <c r="U195" s="11" t="s">
        <v>461</v>
      </c>
      <c r="V195" s="11" t="s">
        <v>461</v>
      </c>
      <c r="W195" s="26" t="s">
        <v>695</v>
      </c>
    </row>
    <row r="196" spans="13:23" x14ac:dyDescent="0.35">
      <c r="M196" s="11" t="s">
        <v>890</v>
      </c>
      <c r="N196" s="11" t="s">
        <v>467</v>
      </c>
      <c r="O196" s="11" t="s">
        <v>734</v>
      </c>
      <c r="P196" s="11" t="s">
        <v>544</v>
      </c>
      <c r="Q196" s="11"/>
      <c r="R196" s="11" t="s">
        <v>709</v>
      </c>
      <c r="S196" s="11" t="s">
        <v>873</v>
      </c>
      <c r="T196" s="11" t="s">
        <v>787</v>
      </c>
      <c r="U196" s="11" t="s">
        <v>461</v>
      </c>
      <c r="V196" s="11" t="s">
        <v>461</v>
      </c>
      <c r="W196" s="26" t="s">
        <v>695</v>
      </c>
    </row>
    <row r="197" spans="13:23" x14ac:dyDescent="0.35">
      <c r="M197" s="11" t="s">
        <v>890</v>
      </c>
      <c r="N197" s="11" t="s">
        <v>467</v>
      </c>
      <c r="O197" s="11" t="s">
        <v>722</v>
      </c>
      <c r="P197" s="11" t="s">
        <v>508</v>
      </c>
      <c r="Q197" s="11"/>
      <c r="R197" s="11" t="s">
        <v>709</v>
      </c>
      <c r="S197" s="11" t="s">
        <v>874</v>
      </c>
      <c r="T197" s="11" t="s">
        <v>787</v>
      </c>
      <c r="U197" s="11" t="s">
        <v>461</v>
      </c>
      <c r="V197" s="11" t="s">
        <v>461</v>
      </c>
      <c r="W197" s="26" t="s">
        <v>695</v>
      </c>
    </row>
    <row r="198" spans="13:23" x14ac:dyDescent="0.35">
      <c r="M198" s="11" t="s">
        <v>890</v>
      </c>
      <c r="N198" s="11" t="s">
        <v>467</v>
      </c>
      <c r="O198" s="11" t="s">
        <v>733</v>
      </c>
      <c r="P198" s="11" t="s">
        <v>540</v>
      </c>
      <c r="Q198" s="11"/>
      <c r="R198" s="11" t="s">
        <v>709</v>
      </c>
      <c r="S198" s="11" t="s">
        <v>875</v>
      </c>
      <c r="T198" s="11" t="s">
        <v>787</v>
      </c>
      <c r="U198" s="11" t="s">
        <v>461</v>
      </c>
      <c r="V198" s="11" t="s">
        <v>461</v>
      </c>
      <c r="W198" s="26" t="s">
        <v>695</v>
      </c>
    </row>
    <row r="199" spans="13:23" x14ac:dyDescent="0.35">
      <c r="M199" s="11" t="s">
        <v>890</v>
      </c>
      <c r="N199" s="11" t="s">
        <v>467</v>
      </c>
      <c r="O199" s="11" t="s">
        <v>726</v>
      </c>
      <c r="P199" s="11" t="s">
        <v>523</v>
      </c>
      <c r="Q199" s="11"/>
      <c r="R199" s="11" t="s">
        <v>709</v>
      </c>
      <c r="S199" s="11" t="s">
        <v>876</v>
      </c>
      <c r="T199" s="11" t="s">
        <v>787</v>
      </c>
      <c r="U199" s="11" t="s">
        <v>461</v>
      </c>
      <c r="V199" s="11" t="s">
        <v>461</v>
      </c>
      <c r="W199" s="26" t="s">
        <v>695</v>
      </c>
    </row>
    <row r="200" spans="13:23" x14ac:dyDescent="0.35">
      <c r="M200" s="11" t="s">
        <v>890</v>
      </c>
      <c r="N200" s="11" t="s">
        <v>467</v>
      </c>
      <c r="O200" s="11" t="s">
        <v>742</v>
      </c>
      <c r="P200" s="11" t="s">
        <v>537</v>
      </c>
      <c r="Q200" s="11"/>
      <c r="R200" s="11" t="s">
        <v>709</v>
      </c>
      <c r="S200" s="11" t="s">
        <v>877</v>
      </c>
      <c r="T200" s="11" t="s">
        <v>787</v>
      </c>
      <c r="U200" s="11" t="s">
        <v>461</v>
      </c>
      <c r="V200" s="11" t="s">
        <v>461</v>
      </c>
      <c r="W200" s="26" t="s">
        <v>695</v>
      </c>
    </row>
    <row r="201" spans="13:23" x14ac:dyDescent="0.35">
      <c r="M201" s="11" t="s">
        <v>890</v>
      </c>
      <c r="N201" s="11" t="s">
        <v>467</v>
      </c>
      <c r="O201" s="11" t="s">
        <v>714</v>
      </c>
      <c r="P201" s="11" t="s">
        <v>498</v>
      </c>
      <c r="Q201" s="11"/>
      <c r="R201" s="11" t="s">
        <v>709</v>
      </c>
      <c r="S201" s="11" t="s">
        <v>878</v>
      </c>
      <c r="T201" s="11" t="s">
        <v>787</v>
      </c>
      <c r="U201" s="11" t="s">
        <v>461</v>
      </c>
      <c r="V201" s="11" t="s">
        <v>461</v>
      </c>
      <c r="W201" s="26" t="s">
        <v>695</v>
      </c>
    </row>
    <row r="202" spans="13:23" x14ac:dyDescent="0.35">
      <c r="M202" s="11" t="s">
        <v>890</v>
      </c>
      <c r="N202" s="11" t="s">
        <v>467</v>
      </c>
      <c r="O202" s="11" t="s">
        <v>716</v>
      </c>
      <c r="P202" s="11" t="s">
        <v>545</v>
      </c>
      <c r="Q202" s="11"/>
      <c r="R202" s="11" t="s">
        <v>709</v>
      </c>
      <c r="S202" s="11" t="s">
        <v>879</v>
      </c>
      <c r="T202" s="11" t="s">
        <v>787</v>
      </c>
      <c r="U202" s="11" t="s">
        <v>461</v>
      </c>
      <c r="V202" s="11" t="s">
        <v>461</v>
      </c>
      <c r="W202" s="26" t="s">
        <v>695</v>
      </c>
    </row>
    <row r="203" spans="13:23" x14ac:dyDescent="0.35">
      <c r="M203" s="11" t="s">
        <v>890</v>
      </c>
      <c r="N203" s="11" t="s">
        <v>467</v>
      </c>
      <c r="O203" s="11" t="s">
        <v>744</v>
      </c>
      <c r="P203" s="11" t="s">
        <v>542</v>
      </c>
      <c r="Q203" s="11"/>
      <c r="R203" s="11" t="s">
        <v>709</v>
      </c>
      <c r="S203" s="11" t="s">
        <v>880</v>
      </c>
      <c r="T203" s="11" t="s">
        <v>787</v>
      </c>
      <c r="U203" s="11" t="s">
        <v>461</v>
      </c>
      <c r="V203" s="11" t="s">
        <v>461</v>
      </c>
      <c r="W203" s="26" t="s">
        <v>695</v>
      </c>
    </row>
    <row r="204" spans="13:23" x14ac:dyDescent="0.35">
      <c r="M204" s="11" t="s">
        <v>890</v>
      </c>
      <c r="N204" s="11" t="s">
        <v>467</v>
      </c>
      <c r="O204" s="11" t="s">
        <v>717</v>
      </c>
      <c r="P204" s="11" t="s">
        <v>474</v>
      </c>
      <c r="Q204" s="11"/>
      <c r="R204" s="11" t="s">
        <v>709</v>
      </c>
      <c r="S204" s="11" t="s">
        <v>881</v>
      </c>
      <c r="T204" s="11" t="s">
        <v>787</v>
      </c>
      <c r="U204" s="11" t="s">
        <v>461</v>
      </c>
      <c r="V204" s="11" t="s">
        <v>461</v>
      </c>
      <c r="W204" s="26" t="s">
        <v>695</v>
      </c>
    </row>
    <row r="205" spans="13:23" x14ac:dyDescent="0.35">
      <c r="M205" s="11" t="s">
        <v>890</v>
      </c>
      <c r="N205" s="11" t="s">
        <v>467</v>
      </c>
      <c r="O205" s="11" t="s">
        <v>664</v>
      </c>
      <c r="P205" s="11" t="s">
        <v>516</v>
      </c>
      <c r="Q205" s="11"/>
      <c r="R205" s="11" t="s">
        <v>709</v>
      </c>
      <c r="S205" s="11" t="s">
        <v>882</v>
      </c>
      <c r="T205" s="11" t="s">
        <v>787</v>
      </c>
      <c r="U205" s="11" t="s">
        <v>461</v>
      </c>
      <c r="V205" s="11" t="s">
        <v>461</v>
      </c>
      <c r="W205" s="26" t="s">
        <v>695</v>
      </c>
    </row>
    <row r="206" spans="13:23" x14ac:dyDescent="0.35">
      <c r="M206" s="11" t="s">
        <v>890</v>
      </c>
      <c r="N206" s="11" t="s">
        <v>467</v>
      </c>
      <c r="O206" s="11" t="s">
        <v>747</v>
      </c>
      <c r="P206" s="11" t="s">
        <v>503</v>
      </c>
      <c r="Q206" s="11"/>
      <c r="R206" s="11" t="s">
        <v>709</v>
      </c>
      <c r="S206" s="11" t="s">
        <v>883</v>
      </c>
      <c r="T206" s="11" t="s">
        <v>787</v>
      </c>
      <c r="U206" s="11" t="s">
        <v>461</v>
      </c>
      <c r="V206" s="11" t="s">
        <v>461</v>
      </c>
      <c r="W206" s="26" t="s">
        <v>695</v>
      </c>
    </row>
    <row r="207" spans="13:23" x14ac:dyDescent="0.35">
      <c r="M207" s="11" t="s">
        <v>890</v>
      </c>
      <c r="N207" s="11" t="s">
        <v>467</v>
      </c>
      <c r="O207" s="11" t="s">
        <v>753</v>
      </c>
      <c r="P207" s="11" t="s">
        <v>551</v>
      </c>
      <c r="Q207" s="11"/>
      <c r="R207" s="11" t="s">
        <v>709</v>
      </c>
      <c r="S207" s="11" t="s">
        <v>884</v>
      </c>
      <c r="T207" s="11" t="s">
        <v>787</v>
      </c>
      <c r="U207" s="11" t="s">
        <v>461</v>
      </c>
      <c r="V207" s="11" t="s">
        <v>461</v>
      </c>
      <c r="W207" s="26" t="s">
        <v>695</v>
      </c>
    </row>
    <row r="208" spans="13:23" x14ac:dyDescent="0.35">
      <c r="M208" s="11" t="s">
        <v>890</v>
      </c>
      <c r="N208" s="11" t="s">
        <v>467</v>
      </c>
      <c r="O208" s="11" t="s">
        <v>725</v>
      </c>
      <c r="P208" s="11" t="s">
        <v>522</v>
      </c>
      <c r="Q208" s="11"/>
      <c r="R208" s="11" t="s">
        <v>709</v>
      </c>
      <c r="S208" s="11" t="s">
        <v>885</v>
      </c>
      <c r="T208" s="11" t="s">
        <v>787</v>
      </c>
      <c r="U208" s="11" t="s">
        <v>461</v>
      </c>
      <c r="V208" s="11" t="s">
        <v>461</v>
      </c>
      <c r="W208" s="26" t="s">
        <v>695</v>
      </c>
    </row>
    <row r="209" spans="13:23" x14ac:dyDescent="0.35">
      <c r="M209" s="11" t="s">
        <v>890</v>
      </c>
      <c r="N209" s="11" t="s">
        <v>467</v>
      </c>
      <c r="O209" s="11" t="s">
        <v>740</v>
      </c>
      <c r="P209" s="11" t="s">
        <v>524</v>
      </c>
      <c r="Q209" s="11"/>
      <c r="R209" s="11" t="s">
        <v>709</v>
      </c>
      <c r="S209" s="11" t="s">
        <v>886</v>
      </c>
      <c r="T209" s="11" t="s">
        <v>787</v>
      </c>
      <c r="U209" s="11" t="s">
        <v>461</v>
      </c>
      <c r="V209" s="11" t="s">
        <v>461</v>
      </c>
      <c r="W209" s="26" t="s">
        <v>695</v>
      </c>
    </row>
    <row r="210" spans="13:23" x14ac:dyDescent="0.35">
      <c r="M210" s="11" t="s">
        <v>890</v>
      </c>
      <c r="N210" s="11" t="s">
        <v>467</v>
      </c>
      <c r="O210" s="11" t="s">
        <v>735</v>
      </c>
      <c r="P210" s="11" t="s">
        <v>548</v>
      </c>
      <c r="Q210" s="11"/>
      <c r="R210" s="11" t="s">
        <v>709</v>
      </c>
      <c r="S210" s="11" t="s">
        <v>887</v>
      </c>
      <c r="T210" s="11" t="s">
        <v>787</v>
      </c>
      <c r="U210" s="11" t="s">
        <v>461</v>
      </c>
      <c r="V210" s="11" t="s">
        <v>461</v>
      </c>
      <c r="W210" s="26" t="s">
        <v>695</v>
      </c>
    </row>
    <row r="211" spans="13:23" x14ac:dyDescent="0.35">
      <c r="M211" s="11" t="s">
        <v>890</v>
      </c>
      <c r="N211" s="11" t="s">
        <v>467</v>
      </c>
      <c r="O211" s="11" t="s">
        <v>749</v>
      </c>
      <c r="P211" s="11" t="s">
        <v>482</v>
      </c>
      <c r="Q211" s="11"/>
      <c r="R211" s="11" t="s">
        <v>709</v>
      </c>
      <c r="S211" s="11" t="s">
        <v>888</v>
      </c>
      <c r="T211" s="11" t="s">
        <v>787</v>
      </c>
      <c r="U211" s="11" t="s">
        <v>461</v>
      </c>
      <c r="V211" s="11" t="s">
        <v>461</v>
      </c>
      <c r="W211" s="26" t="s">
        <v>695</v>
      </c>
    </row>
    <row r="212" spans="13:23" x14ac:dyDescent="0.35">
      <c r="M212" s="11" t="s">
        <v>890</v>
      </c>
      <c r="N212" s="11" t="s">
        <v>467</v>
      </c>
      <c r="O212" s="11" t="s">
        <v>750</v>
      </c>
      <c r="P212" s="11" t="s">
        <v>489</v>
      </c>
      <c r="Q212" s="11"/>
      <c r="R212" s="11" t="s">
        <v>709</v>
      </c>
      <c r="S212" s="11" t="s">
        <v>889</v>
      </c>
      <c r="T212" s="11" t="s">
        <v>787</v>
      </c>
      <c r="U212" s="11" t="s">
        <v>461</v>
      </c>
      <c r="V212" s="11" t="s">
        <v>461</v>
      </c>
      <c r="W212" s="26" t="s">
        <v>695</v>
      </c>
    </row>
    <row r="213" spans="13:23" x14ac:dyDescent="0.35">
      <c r="M213" s="11" t="s">
        <v>928</v>
      </c>
      <c r="N213" s="11" t="s">
        <v>467</v>
      </c>
      <c r="O213" s="11" t="s">
        <v>724</v>
      </c>
      <c r="P213" s="11" t="s">
        <v>480</v>
      </c>
      <c r="Q213" s="11"/>
      <c r="R213" s="11" t="s">
        <v>709</v>
      </c>
      <c r="S213" s="11" t="s">
        <v>856</v>
      </c>
      <c r="T213" s="11" t="s">
        <v>787</v>
      </c>
      <c r="U213" s="11" t="s">
        <v>461</v>
      </c>
      <c r="V213" s="11" t="s">
        <v>461</v>
      </c>
      <c r="W213" s="26" t="s">
        <v>695</v>
      </c>
    </row>
    <row r="214" spans="13:23" x14ac:dyDescent="0.35">
      <c r="M214" s="11" t="s">
        <v>928</v>
      </c>
      <c r="N214" s="11" t="s">
        <v>467</v>
      </c>
      <c r="O214" s="11" t="s">
        <v>715</v>
      </c>
      <c r="P214" s="11" t="s">
        <v>486</v>
      </c>
      <c r="Q214" s="11"/>
      <c r="R214" s="11" t="s">
        <v>709</v>
      </c>
      <c r="S214" s="11" t="s">
        <v>858</v>
      </c>
      <c r="T214" s="11" t="s">
        <v>787</v>
      </c>
      <c r="U214" s="11" t="s">
        <v>461</v>
      </c>
      <c r="V214" s="11" t="s">
        <v>461</v>
      </c>
      <c r="W214" s="26" t="s">
        <v>695</v>
      </c>
    </row>
    <row r="215" spans="13:23" x14ac:dyDescent="0.35">
      <c r="M215" s="11" t="s">
        <v>928</v>
      </c>
      <c r="N215" s="11" t="s">
        <v>467</v>
      </c>
      <c r="O215" s="11" t="s">
        <v>721</v>
      </c>
      <c r="P215" s="11" t="s">
        <v>528</v>
      </c>
      <c r="Q215" s="11"/>
      <c r="R215" s="11" t="s">
        <v>709</v>
      </c>
      <c r="S215" s="11" t="s">
        <v>862</v>
      </c>
      <c r="T215" s="11" t="s">
        <v>787</v>
      </c>
      <c r="U215" s="11" t="s">
        <v>461</v>
      </c>
      <c r="V215" s="11" t="s">
        <v>461</v>
      </c>
      <c r="W215" s="26" t="s">
        <v>695</v>
      </c>
    </row>
    <row r="216" spans="13:23" x14ac:dyDescent="0.35">
      <c r="M216" s="11" t="s">
        <v>928</v>
      </c>
      <c r="N216" s="11" t="s">
        <v>467</v>
      </c>
      <c r="O216" s="11" t="s">
        <v>733</v>
      </c>
      <c r="P216" s="11" t="s">
        <v>490</v>
      </c>
      <c r="Q216" s="11"/>
      <c r="R216" s="11" t="s">
        <v>709</v>
      </c>
      <c r="S216" s="11" t="s">
        <v>864</v>
      </c>
      <c r="T216" s="11" t="s">
        <v>787</v>
      </c>
      <c r="U216" s="11" t="s">
        <v>461</v>
      </c>
      <c r="V216" s="11" t="s">
        <v>461</v>
      </c>
      <c r="W216" s="26" t="s">
        <v>695</v>
      </c>
    </row>
    <row r="217" spans="13:23" x14ac:dyDescent="0.35">
      <c r="M217" s="11" t="s">
        <v>928</v>
      </c>
      <c r="N217" s="11" t="s">
        <v>467</v>
      </c>
      <c r="O217" s="11" t="s">
        <v>729</v>
      </c>
      <c r="P217" s="11" t="s">
        <v>543</v>
      </c>
      <c r="Q217" s="11"/>
      <c r="R217" s="11" t="s">
        <v>709</v>
      </c>
      <c r="S217" s="11" t="s">
        <v>869</v>
      </c>
      <c r="T217" s="11" t="s">
        <v>787</v>
      </c>
      <c r="U217" s="11" t="s">
        <v>461</v>
      </c>
      <c r="V217" s="11" t="s">
        <v>461</v>
      </c>
      <c r="W217" s="26" t="s">
        <v>695</v>
      </c>
    </row>
    <row r="218" spans="13:23" x14ac:dyDescent="0.35">
      <c r="M218" s="11" t="s">
        <v>928</v>
      </c>
      <c r="N218" s="11" t="s">
        <v>467</v>
      </c>
      <c r="O218" s="11" t="s">
        <v>748</v>
      </c>
      <c r="P218" s="11" t="s">
        <v>502</v>
      </c>
      <c r="Q218" s="11"/>
      <c r="R218" s="11" t="s">
        <v>709</v>
      </c>
      <c r="S218" s="11" t="s">
        <v>872</v>
      </c>
      <c r="T218" s="11" t="s">
        <v>787</v>
      </c>
      <c r="U218" s="11" t="s">
        <v>461</v>
      </c>
      <c r="V218" s="11" t="s">
        <v>461</v>
      </c>
      <c r="W218" s="26" t="s">
        <v>695</v>
      </c>
    </row>
    <row r="219" spans="13:23" x14ac:dyDescent="0.35">
      <c r="M219" s="11" t="s">
        <v>928</v>
      </c>
      <c r="N219" s="11" t="s">
        <v>467</v>
      </c>
      <c r="O219" s="11" t="s">
        <v>734</v>
      </c>
      <c r="P219" s="11" t="s">
        <v>544</v>
      </c>
      <c r="Q219" s="11"/>
      <c r="R219" s="11" t="s">
        <v>709</v>
      </c>
      <c r="S219" s="11" t="s">
        <v>873</v>
      </c>
      <c r="T219" s="11" t="s">
        <v>787</v>
      </c>
      <c r="U219" s="11" t="s">
        <v>461</v>
      </c>
      <c r="V219" s="11" t="s">
        <v>461</v>
      </c>
      <c r="W219" s="26" t="s">
        <v>695</v>
      </c>
    </row>
    <row r="220" spans="13:23" x14ac:dyDescent="0.35">
      <c r="M220" s="11" t="s">
        <v>928</v>
      </c>
      <c r="N220" s="11" t="s">
        <v>467</v>
      </c>
      <c r="O220" s="11" t="s">
        <v>733</v>
      </c>
      <c r="P220" s="11" t="s">
        <v>540</v>
      </c>
      <c r="Q220" s="11"/>
      <c r="R220" s="11" t="s">
        <v>709</v>
      </c>
      <c r="S220" s="11" t="s">
        <v>875</v>
      </c>
      <c r="T220" s="11" t="s">
        <v>787</v>
      </c>
      <c r="U220" s="11" t="s">
        <v>461</v>
      </c>
      <c r="V220" s="11" t="s">
        <v>461</v>
      </c>
      <c r="W220" s="26" t="s">
        <v>695</v>
      </c>
    </row>
    <row r="221" spans="13:23" x14ac:dyDescent="0.35">
      <c r="M221" s="11" t="s">
        <v>928</v>
      </c>
      <c r="N221" s="11" t="s">
        <v>467</v>
      </c>
      <c r="O221" s="11" t="s">
        <v>726</v>
      </c>
      <c r="P221" s="11" t="s">
        <v>523</v>
      </c>
      <c r="Q221" s="11"/>
      <c r="R221" s="11" t="s">
        <v>709</v>
      </c>
      <c r="S221" s="11" t="s">
        <v>876</v>
      </c>
      <c r="T221" s="11" t="s">
        <v>787</v>
      </c>
      <c r="U221" s="11" t="s">
        <v>461</v>
      </c>
      <c r="V221" s="11" t="s">
        <v>461</v>
      </c>
      <c r="W221" s="26" t="s">
        <v>695</v>
      </c>
    </row>
    <row r="222" spans="13:23" x14ac:dyDescent="0.35">
      <c r="M222" s="11" t="s">
        <v>928</v>
      </c>
      <c r="N222" s="11" t="s">
        <v>467</v>
      </c>
      <c r="O222" s="11" t="s">
        <v>742</v>
      </c>
      <c r="P222" s="11" t="s">
        <v>537</v>
      </c>
      <c r="Q222" s="11"/>
      <c r="R222" s="11" t="s">
        <v>709</v>
      </c>
      <c r="S222" s="11" t="s">
        <v>877</v>
      </c>
      <c r="T222" s="11" t="s">
        <v>787</v>
      </c>
      <c r="U222" s="11" t="s">
        <v>461</v>
      </c>
      <c r="V222" s="11" t="s">
        <v>461</v>
      </c>
      <c r="W222" s="26" t="s">
        <v>695</v>
      </c>
    </row>
    <row r="223" spans="13:23" x14ac:dyDescent="0.35">
      <c r="M223" s="11" t="s">
        <v>928</v>
      </c>
      <c r="N223" s="11" t="s">
        <v>467</v>
      </c>
      <c r="O223" s="11" t="s">
        <v>714</v>
      </c>
      <c r="P223" s="11" t="s">
        <v>498</v>
      </c>
      <c r="Q223" s="11"/>
      <c r="R223" s="11" t="s">
        <v>709</v>
      </c>
      <c r="S223" s="11" t="s">
        <v>878</v>
      </c>
      <c r="T223" s="11" t="s">
        <v>787</v>
      </c>
      <c r="U223" s="11" t="s">
        <v>461</v>
      </c>
      <c r="V223" s="11" t="s">
        <v>461</v>
      </c>
      <c r="W223" s="26" t="s">
        <v>695</v>
      </c>
    </row>
    <row r="224" spans="13:23" x14ac:dyDescent="0.35">
      <c r="M224" s="11" t="s">
        <v>928</v>
      </c>
      <c r="N224" s="11" t="s">
        <v>467</v>
      </c>
      <c r="O224" s="11" t="s">
        <v>717</v>
      </c>
      <c r="P224" s="11" t="s">
        <v>474</v>
      </c>
      <c r="Q224" s="11"/>
      <c r="R224" s="11" t="s">
        <v>709</v>
      </c>
      <c r="S224" s="11" t="s">
        <v>881</v>
      </c>
      <c r="T224" s="11" t="s">
        <v>787</v>
      </c>
      <c r="U224" s="11" t="s">
        <v>461</v>
      </c>
      <c r="V224" s="11" t="s">
        <v>461</v>
      </c>
      <c r="W224" s="26" t="s">
        <v>695</v>
      </c>
    </row>
    <row r="225" spans="13:23" x14ac:dyDescent="0.35">
      <c r="M225" s="11" t="s">
        <v>928</v>
      </c>
      <c r="N225" s="11" t="s">
        <v>467</v>
      </c>
      <c r="O225" s="11" t="s">
        <v>664</v>
      </c>
      <c r="P225" s="11" t="s">
        <v>516</v>
      </c>
      <c r="Q225" s="11"/>
      <c r="R225" s="11" t="s">
        <v>709</v>
      </c>
      <c r="S225" s="11" t="s">
        <v>882</v>
      </c>
      <c r="T225" s="11" t="s">
        <v>787</v>
      </c>
      <c r="U225" s="11" t="s">
        <v>461</v>
      </c>
      <c r="V225" s="11" t="s">
        <v>461</v>
      </c>
      <c r="W225" s="26" t="s">
        <v>695</v>
      </c>
    </row>
    <row r="226" spans="13:23" x14ac:dyDescent="0.35">
      <c r="M226" s="11" t="s">
        <v>928</v>
      </c>
      <c r="N226" s="11" t="s">
        <v>467</v>
      </c>
      <c r="O226" s="11" t="s">
        <v>753</v>
      </c>
      <c r="P226" s="11" t="s">
        <v>551</v>
      </c>
      <c r="Q226" s="11"/>
      <c r="R226" s="11" t="s">
        <v>709</v>
      </c>
      <c r="S226" s="11" t="s">
        <v>884</v>
      </c>
      <c r="T226" s="11" t="s">
        <v>787</v>
      </c>
      <c r="U226" s="11" t="s">
        <v>461</v>
      </c>
      <c r="V226" s="11" t="s">
        <v>461</v>
      </c>
      <c r="W226" s="26" t="s">
        <v>695</v>
      </c>
    </row>
    <row r="227" spans="13:23" x14ac:dyDescent="0.35">
      <c r="M227" s="11" t="s">
        <v>928</v>
      </c>
      <c r="N227" s="11" t="s">
        <v>467</v>
      </c>
      <c r="O227" s="11" t="s">
        <v>725</v>
      </c>
      <c r="P227" s="11" t="s">
        <v>522</v>
      </c>
      <c r="Q227" s="11"/>
      <c r="R227" s="11" t="s">
        <v>709</v>
      </c>
      <c r="S227" s="11" t="s">
        <v>885</v>
      </c>
      <c r="T227" s="11" t="s">
        <v>787</v>
      </c>
      <c r="U227" s="11" t="s">
        <v>461</v>
      </c>
      <c r="V227" s="11" t="s">
        <v>461</v>
      </c>
      <c r="W227" s="26" t="s">
        <v>695</v>
      </c>
    </row>
    <row r="228" spans="13:23" x14ac:dyDescent="0.35">
      <c r="M228" s="11" t="s">
        <v>928</v>
      </c>
      <c r="N228" s="11" t="s">
        <v>467</v>
      </c>
      <c r="O228" s="11" t="s">
        <v>740</v>
      </c>
      <c r="P228" s="11" t="s">
        <v>524</v>
      </c>
      <c r="Q228" s="11"/>
      <c r="R228" s="11" t="s">
        <v>709</v>
      </c>
      <c r="S228" s="11" t="s">
        <v>886</v>
      </c>
      <c r="T228" s="11" t="s">
        <v>787</v>
      </c>
      <c r="U228" s="11" t="s">
        <v>461</v>
      </c>
      <c r="V228" s="11" t="s">
        <v>461</v>
      </c>
      <c r="W228" s="26" t="s">
        <v>695</v>
      </c>
    </row>
    <row r="229" spans="13:23" x14ac:dyDescent="0.35">
      <c r="M229" s="11" t="s">
        <v>928</v>
      </c>
      <c r="N229" s="11" t="s">
        <v>467</v>
      </c>
      <c r="O229" s="11" t="s">
        <v>735</v>
      </c>
      <c r="P229" s="11" t="s">
        <v>548</v>
      </c>
      <c r="Q229" s="11"/>
      <c r="R229" s="11" t="s">
        <v>709</v>
      </c>
      <c r="S229" s="11" t="s">
        <v>887</v>
      </c>
      <c r="T229" s="11" t="s">
        <v>787</v>
      </c>
      <c r="U229" s="11" t="s">
        <v>461</v>
      </c>
      <c r="V229" s="11" t="s">
        <v>461</v>
      </c>
      <c r="W229" s="26" t="s">
        <v>695</v>
      </c>
    </row>
    <row r="230" spans="13:23" x14ac:dyDescent="0.35">
      <c r="M230" s="11" t="s">
        <v>928</v>
      </c>
      <c r="N230" s="11" t="s">
        <v>467</v>
      </c>
      <c r="O230" s="11" t="s">
        <v>675</v>
      </c>
      <c r="P230" s="11" t="s">
        <v>926</v>
      </c>
      <c r="Q230" s="11"/>
      <c r="R230" s="11" t="s">
        <v>709</v>
      </c>
      <c r="S230" s="11" t="s">
        <v>927</v>
      </c>
      <c r="T230" s="11" t="s">
        <v>787</v>
      </c>
      <c r="U230" s="11" t="s">
        <v>461</v>
      </c>
      <c r="V230" s="11" t="s">
        <v>461</v>
      </c>
      <c r="W230" s="26" t="s">
        <v>695</v>
      </c>
    </row>
    <row r="231" spans="13:23" x14ac:dyDescent="0.35">
      <c r="M231" s="11" t="s">
        <v>1008</v>
      </c>
      <c r="N231" s="11" t="s">
        <v>467</v>
      </c>
      <c r="O231" s="11" t="s">
        <v>1009</v>
      </c>
      <c r="P231" s="11" t="s">
        <v>1011</v>
      </c>
      <c r="Q231" s="11"/>
      <c r="R231" s="11" t="s">
        <v>709</v>
      </c>
      <c r="S231" s="11" t="s">
        <v>1013</v>
      </c>
      <c r="T231" s="11" t="s">
        <v>787</v>
      </c>
      <c r="U231" s="11" t="s">
        <v>461</v>
      </c>
      <c r="V231" s="11" t="s">
        <v>461</v>
      </c>
      <c r="W231" s="26" t="s">
        <v>695</v>
      </c>
    </row>
    <row r="232" spans="13:23" x14ac:dyDescent="0.35">
      <c r="M232" s="11" t="s">
        <v>1008</v>
      </c>
      <c r="N232" s="11" t="s">
        <v>467</v>
      </c>
      <c r="O232" s="11" t="s">
        <v>1010</v>
      </c>
      <c r="P232" s="11" t="s">
        <v>1012</v>
      </c>
      <c r="Q232" s="11"/>
      <c r="R232" s="11" t="s">
        <v>709</v>
      </c>
      <c r="S232" s="11" t="s">
        <v>1014</v>
      </c>
      <c r="T232" s="11" t="s">
        <v>787</v>
      </c>
      <c r="U232" s="11" t="s">
        <v>461</v>
      </c>
      <c r="V232" s="11" t="s">
        <v>461</v>
      </c>
      <c r="W232" s="26" t="s">
        <v>695</v>
      </c>
    </row>
    <row r="233" spans="13:23" x14ac:dyDescent="0.35">
      <c r="M233" s="11" t="s">
        <v>1027</v>
      </c>
      <c r="N233" s="11" t="s">
        <v>696</v>
      </c>
      <c r="O233" s="11" t="s">
        <v>1072</v>
      </c>
      <c r="P233" s="11" t="s">
        <v>1117</v>
      </c>
      <c r="Q233" s="11" t="s">
        <v>1154</v>
      </c>
      <c r="R233" s="11" t="s">
        <v>1155</v>
      </c>
      <c r="S233" s="11" t="s">
        <v>1156</v>
      </c>
      <c r="T233" s="11"/>
      <c r="U233" s="11" t="s">
        <v>1031</v>
      </c>
      <c r="V233" s="11" t="s">
        <v>1067</v>
      </c>
      <c r="W233" s="26" t="s">
        <v>695</v>
      </c>
    </row>
    <row r="234" spans="13:23" x14ac:dyDescent="0.35">
      <c r="M234" s="11" t="s">
        <v>1027</v>
      </c>
      <c r="N234" s="11" t="s">
        <v>696</v>
      </c>
      <c r="O234" s="11" t="s">
        <v>1095</v>
      </c>
      <c r="P234" s="11" t="s">
        <v>1144</v>
      </c>
      <c r="Q234" s="11" t="s">
        <v>1154</v>
      </c>
      <c r="R234" s="11" t="s">
        <v>1157</v>
      </c>
      <c r="S234" s="11" t="s">
        <v>1158</v>
      </c>
      <c r="T234" s="11"/>
      <c r="U234" s="11" t="s">
        <v>1054</v>
      </c>
      <c r="V234" s="11" t="s">
        <v>1067</v>
      </c>
      <c r="W234" s="26" t="s">
        <v>695</v>
      </c>
    </row>
    <row r="235" spans="13:23" x14ac:dyDescent="0.35">
      <c r="M235" s="11" t="s">
        <v>1027</v>
      </c>
      <c r="N235" s="11" t="s">
        <v>696</v>
      </c>
      <c r="O235" s="11" t="s">
        <v>1070</v>
      </c>
      <c r="P235" s="11" t="s">
        <v>1138</v>
      </c>
      <c r="Q235" s="11" t="s">
        <v>1154</v>
      </c>
      <c r="R235" s="11" t="s">
        <v>1159</v>
      </c>
      <c r="S235" s="11" t="s">
        <v>1160</v>
      </c>
      <c r="T235" s="11"/>
      <c r="U235" s="11" t="s">
        <v>1029</v>
      </c>
      <c r="V235" s="11" t="s">
        <v>1067</v>
      </c>
      <c r="W235" s="26" t="s">
        <v>695</v>
      </c>
    </row>
    <row r="236" spans="13:23" x14ac:dyDescent="0.35">
      <c r="M236" s="11" t="s">
        <v>1027</v>
      </c>
      <c r="N236" s="11" t="s">
        <v>696</v>
      </c>
      <c r="O236" s="11" t="s">
        <v>1090</v>
      </c>
      <c r="P236" s="11" t="s">
        <v>1146</v>
      </c>
      <c r="Q236" s="11" t="s">
        <v>1154</v>
      </c>
      <c r="R236" s="11" t="s">
        <v>1161</v>
      </c>
      <c r="S236" s="11" t="s">
        <v>1162</v>
      </c>
      <c r="T236" s="11"/>
      <c r="U236" s="11" t="s">
        <v>1049</v>
      </c>
      <c r="V236" s="11" t="s">
        <v>1067</v>
      </c>
      <c r="W236" s="26" t="s">
        <v>695</v>
      </c>
    </row>
    <row r="237" spans="13:23" x14ac:dyDescent="0.35">
      <c r="M237" s="11" t="s">
        <v>1027</v>
      </c>
      <c r="N237" s="11" t="s">
        <v>696</v>
      </c>
      <c r="O237" s="11" t="s">
        <v>1091</v>
      </c>
      <c r="P237" s="11" t="s">
        <v>1140</v>
      </c>
      <c r="Q237" s="11" t="s">
        <v>1154</v>
      </c>
      <c r="R237" s="11" t="s">
        <v>1163</v>
      </c>
      <c r="S237" s="11" t="s">
        <v>1164</v>
      </c>
      <c r="T237" s="11"/>
      <c r="U237" s="11" t="s">
        <v>1050</v>
      </c>
      <c r="V237" s="11" t="s">
        <v>1067</v>
      </c>
      <c r="W237" s="26" t="s">
        <v>695</v>
      </c>
    </row>
    <row r="238" spans="13:23" x14ac:dyDescent="0.35">
      <c r="M238" s="11" t="s">
        <v>1027</v>
      </c>
      <c r="N238" s="11" t="s">
        <v>696</v>
      </c>
      <c r="O238" s="11" t="s">
        <v>1096</v>
      </c>
      <c r="P238" s="11" t="s">
        <v>1112</v>
      </c>
      <c r="Q238" s="11" t="s">
        <v>1154</v>
      </c>
      <c r="R238" s="11" t="s">
        <v>1165</v>
      </c>
      <c r="S238" s="11" t="s">
        <v>1166</v>
      </c>
      <c r="T238" s="11"/>
      <c r="U238" s="11" t="s">
        <v>1055</v>
      </c>
      <c r="V238" s="11" t="s">
        <v>1067</v>
      </c>
      <c r="W238" s="26" t="s">
        <v>695</v>
      </c>
    </row>
    <row r="239" spans="13:23" x14ac:dyDescent="0.35">
      <c r="M239" s="11" t="s">
        <v>1027</v>
      </c>
      <c r="N239" s="11" t="s">
        <v>696</v>
      </c>
      <c r="O239" s="11" t="s">
        <v>1071</v>
      </c>
      <c r="P239" s="11" t="s">
        <v>1135</v>
      </c>
      <c r="Q239" s="11" t="s">
        <v>1154</v>
      </c>
      <c r="R239" s="11" t="s">
        <v>1167</v>
      </c>
      <c r="S239" s="11" t="s">
        <v>1168</v>
      </c>
      <c r="T239" s="11"/>
      <c r="U239" s="11" t="s">
        <v>1030</v>
      </c>
      <c r="V239" s="11" t="s">
        <v>1067</v>
      </c>
      <c r="W239" s="26" t="s">
        <v>695</v>
      </c>
    </row>
    <row r="240" spans="13:23" x14ac:dyDescent="0.35">
      <c r="M240" s="11" t="s">
        <v>1027</v>
      </c>
      <c r="N240" s="11" t="s">
        <v>696</v>
      </c>
      <c r="O240" s="11" t="s">
        <v>1073</v>
      </c>
      <c r="P240" s="11" t="s">
        <v>1125</v>
      </c>
      <c r="Q240" s="11" t="s">
        <v>1154</v>
      </c>
      <c r="R240" s="11" t="s">
        <v>1169</v>
      </c>
      <c r="S240" s="11" t="s">
        <v>1170</v>
      </c>
      <c r="T240" s="11"/>
      <c r="U240" s="11" t="s">
        <v>1032</v>
      </c>
      <c r="V240" s="11" t="s">
        <v>1067</v>
      </c>
      <c r="W240" s="26" t="s">
        <v>695</v>
      </c>
    </row>
    <row r="241" spans="13:23" x14ac:dyDescent="0.35">
      <c r="M241" s="11" t="s">
        <v>1027</v>
      </c>
      <c r="N241" s="11" t="s">
        <v>696</v>
      </c>
      <c r="O241" s="11" t="s">
        <v>1097</v>
      </c>
      <c r="P241" s="11" t="s">
        <v>1110</v>
      </c>
      <c r="Q241" s="11" t="s">
        <v>1154</v>
      </c>
      <c r="R241" s="11" t="s">
        <v>1171</v>
      </c>
      <c r="S241" s="11" t="s">
        <v>1172</v>
      </c>
      <c r="T241" s="11"/>
      <c r="U241" s="11" t="s">
        <v>1056</v>
      </c>
      <c r="V241" s="11" t="s">
        <v>1067</v>
      </c>
      <c r="W241" s="26" t="s">
        <v>695</v>
      </c>
    </row>
    <row r="242" spans="13:23" x14ac:dyDescent="0.35">
      <c r="M242" s="11" t="s">
        <v>1027</v>
      </c>
      <c r="N242" s="11" t="s">
        <v>696</v>
      </c>
      <c r="O242" s="11" t="s">
        <v>1074</v>
      </c>
      <c r="P242" s="11" t="s">
        <v>1114</v>
      </c>
      <c r="Q242" s="11" t="s">
        <v>1154</v>
      </c>
      <c r="R242" s="11" t="s">
        <v>1173</v>
      </c>
      <c r="S242" s="11" t="s">
        <v>1174</v>
      </c>
      <c r="T242" s="11"/>
      <c r="U242" s="11" t="s">
        <v>1033</v>
      </c>
      <c r="V242" s="11" t="s">
        <v>1067</v>
      </c>
      <c r="W242" s="26" t="s">
        <v>695</v>
      </c>
    </row>
    <row r="243" spans="13:23" x14ac:dyDescent="0.35">
      <c r="M243" s="11" t="s">
        <v>1027</v>
      </c>
      <c r="N243" s="11" t="s">
        <v>696</v>
      </c>
      <c r="O243" s="11" t="s">
        <v>1098</v>
      </c>
      <c r="P243" s="11" t="s">
        <v>1127</v>
      </c>
      <c r="Q243" s="11" t="s">
        <v>1154</v>
      </c>
      <c r="R243" s="11" t="s">
        <v>1175</v>
      </c>
      <c r="S243" s="11" t="s">
        <v>1176</v>
      </c>
      <c r="T243" s="11"/>
      <c r="U243" s="11" t="s">
        <v>1057</v>
      </c>
      <c r="V243" s="11" t="s">
        <v>1067</v>
      </c>
      <c r="W243" s="26" t="s">
        <v>695</v>
      </c>
    </row>
    <row r="244" spans="13:23" x14ac:dyDescent="0.35">
      <c r="M244" s="11" t="s">
        <v>1027</v>
      </c>
      <c r="N244" s="11" t="s">
        <v>696</v>
      </c>
      <c r="O244" s="11" t="s">
        <v>1075</v>
      </c>
      <c r="P244" s="11" t="s">
        <v>1150</v>
      </c>
      <c r="Q244" s="11" t="s">
        <v>1154</v>
      </c>
      <c r="R244" s="11" t="s">
        <v>1177</v>
      </c>
      <c r="S244" s="11" t="s">
        <v>1178</v>
      </c>
      <c r="T244" s="11"/>
      <c r="U244" s="11" t="s">
        <v>1034</v>
      </c>
      <c r="V244" s="11" t="s">
        <v>1067</v>
      </c>
      <c r="W244" s="26" t="s">
        <v>695</v>
      </c>
    </row>
    <row r="245" spans="13:23" x14ac:dyDescent="0.35">
      <c r="M245" s="11" t="s">
        <v>1027</v>
      </c>
      <c r="N245" s="11" t="s">
        <v>696</v>
      </c>
      <c r="O245" s="11" t="s">
        <v>1069</v>
      </c>
      <c r="P245" s="11" t="s">
        <v>1139</v>
      </c>
      <c r="Q245" s="11" t="s">
        <v>1154</v>
      </c>
      <c r="R245" s="11" t="s">
        <v>1179</v>
      </c>
      <c r="S245" s="11" t="s">
        <v>1180</v>
      </c>
      <c r="T245" s="11"/>
      <c r="U245" s="11" t="s">
        <v>1028</v>
      </c>
      <c r="V245" s="11" t="s">
        <v>1067</v>
      </c>
      <c r="W245" s="26" t="s">
        <v>695</v>
      </c>
    </row>
    <row r="246" spans="13:23" x14ac:dyDescent="0.35">
      <c r="M246" s="11" t="s">
        <v>1027</v>
      </c>
      <c r="N246" s="11" t="s">
        <v>696</v>
      </c>
      <c r="O246" s="11" t="s">
        <v>1076</v>
      </c>
      <c r="P246" s="11" t="s">
        <v>768</v>
      </c>
      <c r="Q246" s="11" t="s">
        <v>1154</v>
      </c>
      <c r="R246" s="11" t="s">
        <v>1181</v>
      </c>
      <c r="S246" s="11" t="s">
        <v>1182</v>
      </c>
      <c r="T246" s="11"/>
      <c r="U246" s="11" t="s">
        <v>1035</v>
      </c>
      <c r="V246" s="11" t="s">
        <v>1067</v>
      </c>
      <c r="W246" s="26" t="s">
        <v>695</v>
      </c>
    </row>
    <row r="247" spans="13:23" x14ac:dyDescent="0.35">
      <c r="M247" s="11" t="s">
        <v>1027</v>
      </c>
      <c r="N247" s="11" t="s">
        <v>696</v>
      </c>
      <c r="O247" s="11" t="s">
        <v>1092</v>
      </c>
      <c r="P247" s="11" t="s">
        <v>1142</v>
      </c>
      <c r="Q247" s="11" t="s">
        <v>1154</v>
      </c>
      <c r="R247" s="11" t="s">
        <v>1183</v>
      </c>
      <c r="S247" s="11" t="s">
        <v>1184</v>
      </c>
      <c r="T247" s="11"/>
      <c r="U247" s="11" t="s">
        <v>1051</v>
      </c>
      <c r="V247" s="11" t="s">
        <v>1067</v>
      </c>
      <c r="W247" s="26" t="s">
        <v>695</v>
      </c>
    </row>
    <row r="248" spans="13:23" x14ac:dyDescent="0.35">
      <c r="M248" s="11" t="s">
        <v>1027</v>
      </c>
      <c r="N248" s="11" t="s">
        <v>696</v>
      </c>
      <c r="O248" s="11" t="s">
        <v>1109</v>
      </c>
      <c r="P248" s="11" t="s">
        <v>1116</v>
      </c>
      <c r="Q248" s="11" t="s">
        <v>1154</v>
      </c>
      <c r="R248" s="11" t="s">
        <v>1185</v>
      </c>
      <c r="S248" s="11" t="s">
        <v>1186</v>
      </c>
      <c r="T248" s="11"/>
      <c r="U248" s="11" t="s">
        <v>1066</v>
      </c>
      <c r="V248" s="11" t="s">
        <v>1067</v>
      </c>
      <c r="W248" s="26" t="s">
        <v>695</v>
      </c>
    </row>
    <row r="249" spans="13:23" x14ac:dyDescent="0.35">
      <c r="M249" s="11" t="s">
        <v>1027</v>
      </c>
      <c r="N249" s="11" t="s">
        <v>696</v>
      </c>
      <c r="O249" s="11" t="s">
        <v>1077</v>
      </c>
      <c r="P249" s="11" t="s">
        <v>1129</v>
      </c>
      <c r="Q249" s="11" t="s">
        <v>1154</v>
      </c>
      <c r="R249" s="11" t="s">
        <v>1187</v>
      </c>
      <c r="S249" s="11" t="s">
        <v>1188</v>
      </c>
      <c r="T249" s="11"/>
      <c r="U249" s="11" t="s">
        <v>1036</v>
      </c>
      <c r="V249" s="11" t="s">
        <v>1067</v>
      </c>
      <c r="W249" s="26" t="s">
        <v>695</v>
      </c>
    </row>
    <row r="250" spans="13:23" x14ac:dyDescent="0.35">
      <c r="M250" s="11" t="s">
        <v>1027</v>
      </c>
      <c r="N250" s="11" t="s">
        <v>696</v>
      </c>
      <c r="O250" s="11" t="s">
        <v>1078</v>
      </c>
      <c r="P250" s="11" t="s">
        <v>1134</v>
      </c>
      <c r="Q250" s="11" t="s">
        <v>1154</v>
      </c>
      <c r="R250" s="11" t="s">
        <v>1189</v>
      </c>
      <c r="S250" s="11" t="s">
        <v>1190</v>
      </c>
      <c r="T250" s="11"/>
      <c r="U250" s="11" t="s">
        <v>1037</v>
      </c>
      <c r="V250" s="11" t="s">
        <v>1067</v>
      </c>
      <c r="W250" s="26" t="s">
        <v>695</v>
      </c>
    </row>
    <row r="251" spans="13:23" x14ac:dyDescent="0.35">
      <c r="M251" s="11" t="s">
        <v>1027</v>
      </c>
      <c r="N251" s="11" t="s">
        <v>696</v>
      </c>
      <c r="O251" s="11" t="s">
        <v>1099</v>
      </c>
      <c r="P251" s="11" t="s">
        <v>1131</v>
      </c>
      <c r="Q251" s="11" t="s">
        <v>1154</v>
      </c>
      <c r="R251" s="11" t="s">
        <v>1191</v>
      </c>
      <c r="S251" s="11" t="s">
        <v>1192</v>
      </c>
      <c r="T251" s="11"/>
      <c r="U251" s="11" t="s">
        <v>1058</v>
      </c>
      <c r="V251" s="11" t="s">
        <v>1067</v>
      </c>
      <c r="W251" s="26" t="s">
        <v>695</v>
      </c>
    </row>
    <row r="252" spans="13:23" x14ac:dyDescent="0.35">
      <c r="M252" s="11" t="s">
        <v>1027</v>
      </c>
      <c r="N252" s="11" t="s">
        <v>696</v>
      </c>
      <c r="O252" s="11" t="s">
        <v>1100</v>
      </c>
      <c r="P252" s="11" t="s">
        <v>1147</v>
      </c>
      <c r="Q252" s="11" t="s">
        <v>1154</v>
      </c>
      <c r="R252" s="11" t="s">
        <v>1193</v>
      </c>
      <c r="S252" s="11" t="s">
        <v>1194</v>
      </c>
      <c r="T252" s="11"/>
      <c r="U252" s="11" t="s">
        <v>1151</v>
      </c>
      <c r="V252" s="11" t="s">
        <v>1067</v>
      </c>
      <c r="W252" s="26" t="s">
        <v>695</v>
      </c>
    </row>
    <row r="253" spans="13:23" x14ac:dyDescent="0.35">
      <c r="M253" s="11" t="s">
        <v>1027</v>
      </c>
      <c r="N253" s="11" t="s">
        <v>696</v>
      </c>
      <c r="O253" s="11" t="s">
        <v>1101</v>
      </c>
      <c r="P253" s="11" t="s">
        <v>1120</v>
      </c>
      <c r="Q253" s="11" t="s">
        <v>1154</v>
      </c>
      <c r="R253" s="11" t="s">
        <v>1195</v>
      </c>
      <c r="S253" s="11" t="s">
        <v>1196</v>
      </c>
      <c r="T253" s="11"/>
      <c r="U253" s="11" t="s">
        <v>1152</v>
      </c>
      <c r="V253" s="11" t="s">
        <v>1067</v>
      </c>
      <c r="W253" s="26" t="s">
        <v>695</v>
      </c>
    </row>
    <row r="254" spans="13:23" x14ac:dyDescent="0.35">
      <c r="M254" s="11" t="s">
        <v>1027</v>
      </c>
      <c r="N254" s="11" t="s">
        <v>696</v>
      </c>
      <c r="O254" s="11" t="s">
        <v>1093</v>
      </c>
      <c r="P254" s="11" t="s">
        <v>1141</v>
      </c>
      <c r="Q254" s="11" t="s">
        <v>1154</v>
      </c>
      <c r="R254" s="11" t="s">
        <v>1197</v>
      </c>
      <c r="S254" s="11" t="s">
        <v>1198</v>
      </c>
      <c r="T254" s="11"/>
      <c r="U254" s="11" t="s">
        <v>1052</v>
      </c>
      <c r="V254" s="11" t="s">
        <v>1067</v>
      </c>
      <c r="W254" s="26" t="s">
        <v>695</v>
      </c>
    </row>
    <row r="255" spans="13:23" x14ac:dyDescent="0.35">
      <c r="M255" s="11" t="s">
        <v>1027</v>
      </c>
      <c r="N255" s="11" t="s">
        <v>696</v>
      </c>
      <c r="O255" s="11" t="s">
        <v>1102</v>
      </c>
      <c r="P255" s="11" t="s">
        <v>1113</v>
      </c>
      <c r="Q255" s="11" t="s">
        <v>1154</v>
      </c>
      <c r="R255" s="11" t="s">
        <v>1199</v>
      </c>
      <c r="S255" s="11" t="s">
        <v>1200</v>
      </c>
      <c r="T255" s="11"/>
      <c r="U255" s="11" t="s">
        <v>1059</v>
      </c>
      <c r="V255" s="11" t="s">
        <v>1067</v>
      </c>
      <c r="W255" s="26" t="s">
        <v>695</v>
      </c>
    </row>
    <row r="256" spans="13:23" x14ac:dyDescent="0.35">
      <c r="M256" s="11" t="s">
        <v>1027</v>
      </c>
      <c r="N256" s="11" t="s">
        <v>696</v>
      </c>
      <c r="O256" s="11" t="s">
        <v>1085</v>
      </c>
      <c r="P256" s="11" t="s">
        <v>1126</v>
      </c>
      <c r="Q256" s="11" t="s">
        <v>1154</v>
      </c>
      <c r="R256" s="11" t="s">
        <v>1201</v>
      </c>
      <c r="S256" s="11" t="s">
        <v>1202</v>
      </c>
      <c r="T256" s="11"/>
      <c r="U256" s="11" t="s">
        <v>1044</v>
      </c>
      <c r="V256" s="11" t="s">
        <v>1067</v>
      </c>
      <c r="W256" s="26" t="s">
        <v>695</v>
      </c>
    </row>
    <row r="257" spans="13:23" x14ac:dyDescent="0.35">
      <c r="M257" s="11" t="s">
        <v>1027</v>
      </c>
      <c r="N257" s="11" t="s">
        <v>696</v>
      </c>
      <c r="O257" s="11" t="s">
        <v>1107</v>
      </c>
      <c r="P257" s="11" t="s">
        <v>1111</v>
      </c>
      <c r="Q257" s="11" t="s">
        <v>1154</v>
      </c>
      <c r="R257" s="11" t="s">
        <v>1203</v>
      </c>
      <c r="S257" s="11" t="s">
        <v>1204</v>
      </c>
      <c r="T257" s="11"/>
      <c r="U257" s="11" t="s">
        <v>1064</v>
      </c>
      <c r="V257" s="11" t="s">
        <v>1067</v>
      </c>
      <c r="W257" s="26" t="s">
        <v>695</v>
      </c>
    </row>
    <row r="258" spans="13:23" x14ac:dyDescent="0.35">
      <c r="M258" s="11" t="s">
        <v>1027</v>
      </c>
      <c r="N258" s="11" t="s">
        <v>696</v>
      </c>
      <c r="O258" s="11" t="s">
        <v>1084</v>
      </c>
      <c r="P258" s="11" t="s">
        <v>1115</v>
      </c>
      <c r="Q258" s="11" t="s">
        <v>1154</v>
      </c>
      <c r="R258" s="11" t="s">
        <v>1205</v>
      </c>
      <c r="S258" s="11" t="s">
        <v>1206</v>
      </c>
      <c r="T258" s="11"/>
      <c r="U258" s="11" t="s">
        <v>1043</v>
      </c>
      <c r="V258" s="11" t="s">
        <v>1067</v>
      </c>
      <c r="W258" s="26" t="s">
        <v>695</v>
      </c>
    </row>
    <row r="259" spans="13:23" x14ac:dyDescent="0.35">
      <c r="M259" s="11" t="s">
        <v>1027</v>
      </c>
      <c r="N259" s="11" t="s">
        <v>696</v>
      </c>
      <c r="O259" s="11" t="s">
        <v>1104</v>
      </c>
      <c r="P259" s="11" t="s">
        <v>1128</v>
      </c>
      <c r="Q259" s="11" t="s">
        <v>1154</v>
      </c>
      <c r="R259" s="11" t="s">
        <v>1207</v>
      </c>
      <c r="S259" s="11" t="s">
        <v>1208</v>
      </c>
      <c r="T259" s="11"/>
      <c r="U259" s="11" t="s">
        <v>1061</v>
      </c>
      <c r="V259" s="11" t="s">
        <v>1067</v>
      </c>
      <c r="W259" s="26" t="s">
        <v>695</v>
      </c>
    </row>
    <row r="260" spans="13:23" x14ac:dyDescent="0.35">
      <c r="M260" s="11" t="s">
        <v>1027</v>
      </c>
      <c r="N260" s="11" t="s">
        <v>696</v>
      </c>
      <c r="O260" s="11" t="s">
        <v>1094</v>
      </c>
      <c r="P260" s="11" t="s">
        <v>1143</v>
      </c>
      <c r="Q260" s="11" t="s">
        <v>1154</v>
      </c>
      <c r="R260" s="11" t="s">
        <v>1209</v>
      </c>
      <c r="S260" s="11" t="s">
        <v>1210</v>
      </c>
      <c r="T260" s="11"/>
      <c r="U260" s="11" t="s">
        <v>1053</v>
      </c>
      <c r="V260" s="11" t="s">
        <v>1067</v>
      </c>
      <c r="W260" s="26" t="s">
        <v>695</v>
      </c>
    </row>
    <row r="261" spans="13:23" x14ac:dyDescent="0.35">
      <c r="M261" s="11" t="s">
        <v>1027</v>
      </c>
      <c r="N261" s="11" t="s">
        <v>696</v>
      </c>
      <c r="O261" s="11" t="s">
        <v>1083</v>
      </c>
      <c r="P261" s="11" t="s">
        <v>1130</v>
      </c>
      <c r="Q261" s="11" t="s">
        <v>1154</v>
      </c>
      <c r="R261" s="11" t="s">
        <v>1211</v>
      </c>
      <c r="S261" s="11" t="s">
        <v>1212</v>
      </c>
      <c r="T261" s="11"/>
      <c r="U261" s="11" t="s">
        <v>1042</v>
      </c>
      <c r="V261" s="11" t="s">
        <v>1067</v>
      </c>
      <c r="W261" s="26" t="s">
        <v>695</v>
      </c>
    </row>
    <row r="262" spans="13:23" x14ac:dyDescent="0.35">
      <c r="M262" s="11" t="s">
        <v>1027</v>
      </c>
      <c r="N262" s="11" t="s">
        <v>696</v>
      </c>
      <c r="O262" s="11" t="s">
        <v>1105</v>
      </c>
      <c r="P262" s="11" t="s">
        <v>1148</v>
      </c>
      <c r="Q262" s="11" t="s">
        <v>1154</v>
      </c>
      <c r="R262" s="11" t="s">
        <v>1213</v>
      </c>
      <c r="S262" s="11" t="s">
        <v>1214</v>
      </c>
      <c r="T262" s="11"/>
      <c r="U262" s="11" t="s">
        <v>1062</v>
      </c>
      <c r="V262" s="11" t="s">
        <v>1068</v>
      </c>
      <c r="W262" s="26" t="s">
        <v>695</v>
      </c>
    </row>
    <row r="263" spans="13:23" x14ac:dyDescent="0.35">
      <c r="M263" s="11" t="s">
        <v>1027</v>
      </c>
      <c r="N263" s="11" t="s">
        <v>696</v>
      </c>
      <c r="O263" s="11" t="s">
        <v>1106</v>
      </c>
      <c r="P263" s="11" t="s">
        <v>1121</v>
      </c>
      <c r="Q263" s="11" t="s">
        <v>1154</v>
      </c>
      <c r="R263" s="11" t="s">
        <v>1215</v>
      </c>
      <c r="S263" s="11" t="s">
        <v>1216</v>
      </c>
      <c r="T263" s="11"/>
      <c r="U263" s="11" t="s">
        <v>1063</v>
      </c>
      <c r="V263" s="11" t="s">
        <v>1067</v>
      </c>
      <c r="W263" s="26" t="s">
        <v>695</v>
      </c>
    </row>
    <row r="264" spans="13:23" x14ac:dyDescent="0.35">
      <c r="M264" s="11" t="s">
        <v>1027</v>
      </c>
      <c r="N264" s="11" t="s">
        <v>696</v>
      </c>
      <c r="O264" s="11" t="s">
        <v>1086</v>
      </c>
      <c r="P264" s="11" t="s">
        <v>1124</v>
      </c>
      <c r="Q264" s="11" t="s">
        <v>1154</v>
      </c>
      <c r="R264" s="11" t="s">
        <v>1217</v>
      </c>
      <c r="S264" s="11" t="s">
        <v>1218</v>
      </c>
      <c r="T264" s="11"/>
      <c r="U264" s="11" t="s">
        <v>1045</v>
      </c>
      <c r="V264" s="11" t="s">
        <v>1067</v>
      </c>
      <c r="W264" s="26" t="s">
        <v>695</v>
      </c>
    </row>
    <row r="265" spans="13:23" x14ac:dyDescent="0.35">
      <c r="M265" s="11" t="s">
        <v>1027</v>
      </c>
      <c r="N265" s="11" t="s">
        <v>696</v>
      </c>
      <c r="O265" s="11" t="s">
        <v>1087</v>
      </c>
      <c r="P265" s="11" t="s">
        <v>1137</v>
      </c>
      <c r="Q265" s="11" t="s">
        <v>1154</v>
      </c>
      <c r="R265" s="11" t="s">
        <v>1219</v>
      </c>
      <c r="S265" s="11" t="s">
        <v>1220</v>
      </c>
      <c r="T265" s="11"/>
      <c r="U265" s="11" t="s">
        <v>1046</v>
      </c>
      <c r="V265" s="11" t="s">
        <v>1067</v>
      </c>
      <c r="W265" s="26" t="s">
        <v>695</v>
      </c>
    </row>
    <row r="266" spans="13:23" x14ac:dyDescent="0.35">
      <c r="M266" s="11" t="s">
        <v>1027</v>
      </c>
      <c r="N266" s="11" t="s">
        <v>696</v>
      </c>
      <c r="O266" s="11" t="s">
        <v>1103</v>
      </c>
      <c r="P266" s="11" t="s">
        <v>1119</v>
      </c>
      <c r="Q266" s="11" t="s">
        <v>1154</v>
      </c>
      <c r="R266" s="11" t="s">
        <v>1221</v>
      </c>
      <c r="S266" s="11" t="s">
        <v>1222</v>
      </c>
      <c r="T266" s="11"/>
      <c r="U266" s="11" t="s">
        <v>1060</v>
      </c>
      <c r="V266" s="11" t="s">
        <v>1067</v>
      </c>
      <c r="W266" s="26" t="s">
        <v>695</v>
      </c>
    </row>
    <row r="267" spans="13:23" x14ac:dyDescent="0.35">
      <c r="M267" s="11" t="s">
        <v>1027</v>
      </c>
      <c r="N267" s="11" t="s">
        <v>696</v>
      </c>
      <c r="O267" s="11" t="s">
        <v>1088</v>
      </c>
      <c r="P267" s="11" t="s">
        <v>1133</v>
      </c>
      <c r="Q267" s="11" t="s">
        <v>1154</v>
      </c>
      <c r="R267" s="11" t="s">
        <v>1223</v>
      </c>
      <c r="S267" s="11" t="s">
        <v>1224</v>
      </c>
      <c r="T267" s="11"/>
      <c r="U267" s="11" t="s">
        <v>1047</v>
      </c>
      <c r="V267" s="11" t="s">
        <v>1067</v>
      </c>
      <c r="W267" s="26" t="s">
        <v>695</v>
      </c>
    </row>
    <row r="268" spans="13:23" x14ac:dyDescent="0.35">
      <c r="M268" s="11" t="s">
        <v>1027</v>
      </c>
      <c r="N268" s="11" t="s">
        <v>696</v>
      </c>
      <c r="O268" s="11" t="s">
        <v>1089</v>
      </c>
      <c r="P268" s="11" t="s">
        <v>1146</v>
      </c>
      <c r="Q268" s="11" t="s">
        <v>1154</v>
      </c>
      <c r="R268" s="11" t="s">
        <v>1225</v>
      </c>
      <c r="S268" s="11" t="s">
        <v>1226</v>
      </c>
      <c r="T268" s="11"/>
      <c r="U268" s="11" t="s">
        <v>1048</v>
      </c>
      <c r="V268" s="11" t="s">
        <v>1067</v>
      </c>
      <c r="W268" s="26" t="s">
        <v>695</v>
      </c>
    </row>
    <row r="269" spans="13:23" x14ac:dyDescent="0.35">
      <c r="M269" s="11" t="s">
        <v>1027</v>
      </c>
      <c r="N269" s="11" t="s">
        <v>696</v>
      </c>
      <c r="O269" s="11" t="s">
        <v>1079</v>
      </c>
      <c r="P269" s="11" t="s">
        <v>1123</v>
      </c>
      <c r="Q269" s="11" t="s">
        <v>1154</v>
      </c>
      <c r="R269" s="11" t="s">
        <v>1227</v>
      </c>
      <c r="S269" s="11" t="s">
        <v>1228</v>
      </c>
      <c r="T269" s="11"/>
      <c r="U269" s="11" t="s">
        <v>1038</v>
      </c>
      <c r="V269" s="11" t="s">
        <v>1067</v>
      </c>
      <c r="W269" s="26" t="s">
        <v>695</v>
      </c>
    </row>
    <row r="270" spans="13:23" x14ac:dyDescent="0.35">
      <c r="M270" s="11" t="s">
        <v>1027</v>
      </c>
      <c r="N270" s="11" t="s">
        <v>696</v>
      </c>
      <c r="O270" s="11" t="s">
        <v>1080</v>
      </c>
      <c r="P270" s="11" t="s">
        <v>1136</v>
      </c>
      <c r="Q270" s="11" t="s">
        <v>1154</v>
      </c>
      <c r="R270" s="11" t="s">
        <v>1229</v>
      </c>
      <c r="S270" s="11" t="s">
        <v>1230</v>
      </c>
      <c r="T270" s="11"/>
      <c r="U270" s="11" t="s">
        <v>1039</v>
      </c>
      <c r="V270" s="11" t="s">
        <v>1067</v>
      </c>
      <c r="W270" s="26" t="s">
        <v>695</v>
      </c>
    </row>
    <row r="271" spans="13:23" x14ac:dyDescent="0.35">
      <c r="M271" s="11" t="s">
        <v>1027</v>
      </c>
      <c r="N271" s="11" t="s">
        <v>696</v>
      </c>
      <c r="O271" s="11" t="s">
        <v>1108</v>
      </c>
      <c r="P271" s="11" t="s">
        <v>1118</v>
      </c>
      <c r="Q271" s="11" t="s">
        <v>1154</v>
      </c>
      <c r="R271" s="11" t="s">
        <v>1231</v>
      </c>
      <c r="S271" s="11" t="s">
        <v>1232</v>
      </c>
      <c r="T271" s="11"/>
      <c r="U271" s="11" t="s">
        <v>1065</v>
      </c>
      <c r="V271" s="11" t="s">
        <v>1067</v>
      </c>
      <c r="W271" s="26" t="s">
        <v>695</v>
      </c>
    </row>
    <row r="272" spans="13:23" x14ac:dyDescent="0.35">
      <c r="M272" s="11" t="s">
        <v>1027</v>
      </c>
      <c r="N272" s="11" t="s">
        <v>696</v>
      </c>
      <c r="O272" s="11" t="s">
        <v>1081</v>
      </c>
      <c r="P272" s="11" t="s">
        <v>1132</v>
      </c>
      <c r="Q272" s="11" t="s">
        <v>1154</v>
      </c>
      <c r="R272" s="11" t="s">
        <v>1233</v>
      </c>
      <c r="S272" s="11" t="s">
        <v>1234</v>
      </c>
      <c r="T272" s="11"/>
      <c r="U272" s="11" t="s">
        <v>1040</v>
      </c>
      <c r="V272" s="11" t="s">
        <v>1067</v>
      </c>
      <c r="W272" s="26" t="s">
        <v>695</v>
      </c>
    </row>
    <row r="273" spans="13:23" x14ac:dyDescent="0.35">
      <c r="M273" s="11" t="s">
        <v>1027</v>
      </c>
      <c r="N273" s="11" t="s">
        <v>696</v>
      </c>
      <c r="O273" s="11" t="s">
        <v>1149</v>
      </c>
      <c r="P273" s="11" t="s">
        <v>1122</v>
      </c>
      <c r="Q273" s="11" t="s">
        <v>1154</v>
      </c>
      <c r="R273" s="11" t="s">
        <v>1235</v>
      </c>
      <c r="S273" s="11" t="s">
        <v>1236</v>
      </c>
      <c r="T273" s="11"/>
      <c r="U273" s="11" t="s">
        <v>1153</v>
      </c>
      <c r="V273" s="11" t="s">
        <v>1067</v>
      </c>
      <c r="W273" s="26" t="s">
        <v>695</v>
      </c>
    </row>
    <row r="274" spans="13:23" x14ac:dyDescent="0.35">
      <c r="M274" s="11" t="s">
        <v>1027</v>
      </c>
      <c r="N274" s="11" t="s">
        <v>696</v>
      </c>
      <c r="O274" s="11" t="s">
        <v>1082</v>
      </c>
      <c r="P274" s="11" t="s">
        <v>1145</v>
      </c>
      <c r="Q274" s="11" t="s">
        <v>1154</v>
      </c>
      <c r="R274" s="11" t="s">
        <v>1237</v>
      </c>
      <c r="S274" s="11" t="s">
        <v>1238</v>
      </c>
      <c r="T274" s="11"/>
      <c r="U274" s="11" t="s">
        <v>1041</v>
      </c>
      <c r="V274" s="11" t="s">
        <v>1067</v>
      </c>
      <c r="W274" s="26" t="s">
        <v>695</v>
      </c>
    </row>
    <row r="275" spans="13:23" x14ac:dyDescent="0.35">
      <c r="M275" s="11" t="s">
        <v>1239</v>
      </c>
      <c r="N275" s="11" t="s">
        <v>477</v>
      </c>
      <c r="O275" s="11" t="s">
        <v>477</v>
      </c>
      <c r="P275" s="11" t="s">
        <v>1241</v>
      </c>
      <c r="Q275" s="11"/>
      <c r="R275" s="11" t="s">
        <v>1249</v>
      </c>
      <c r="S275" s="11" t="s">
        <v>1247</v>
      </c>
      <c r="T275" s="11" t="s">
        <v>461</v>
      </c>
      <c r="U275" s="11" t="s">
        <v>1247</v>
      </c>
      <c r="V275" s="11" t="s">
        <v>461</v>
      </c>
      <c r="W275" s="26" t="s">
        <v>695</v>
      </c>
    </row>
    <row r="276" spans="13:23" x14ac:dyDescent="0.35">
      <c r="M276" s="11" t="s">
        <v>1239</v>
      </c>
      <c r="N276" s="11" t="s">
        <v>477</v>
      </c>
      <c r="O276" s="11" t="s">
        <v>477</v>
      </c>
      <c r="P276" s="11" t="s">
        <v>1241</v>
      </c>
      <c r="Q276" s="11"/>
      <c r="R276" s="11" t="s">
        <v>1249</v>
      </c>
      <c r="S276" s="11" t="s">
        <v>1247</v>
      </c>
      <c r="T276" s="11" t="s">
        <v>461</v>
      </c>
      <c r="U276" s="11" t="s">
        <v>1247</v>
      </c>
      <c r="V276" s="11" t="s">
        <v>461</v>
      </c>
      <c r="W276" s="26" t="s">
        <v>695</v>
      </c>
    </row>
    <row r="277" spans="13:23" x14ac:dyDescent="0.35">
      <c r="M277" s="11" t="s">
        <v>1239</v>
      </c>
      <c r="N277" s="11" t="s">
        <v>477</v>
      </c>
      <c r="O277" s="11" t="s">
        <v>477</v>
      </c>
      <c r="P277" s="11" t="s">
        <v>1241</v>
      </c>
      <c r="Q277" s="11"/>
      <c r="R277" s="11" t="s">
        <v>1249</v>
      </c>
      <c r="S277" s="11" t="s">
        <v>1247</v>
      </c>
      <c r="T277" s="11" t="s">
        <v>461</v>
      </c>
      <c r="U277" s="11" t="s">
        <v>1247</v>
      </c>
      <c r="V277" s="11" t="s">
        <v>461</v>
      </c>
      <c r="W277" s="26" t="s">
        <v>695</v>
      </c>
    </row>
    <row r="278" spans="13:23" x14ac:dyDescent="0.35">
      <c r="M278" s="11" t="s">
        <v>1239</v>
      </c>
      <c r="N278" s="11" t="s">
        <v>477</v>
      </c>
      <c r="O278" s="11" t="s">
        <v>477</v>
      </c>
      <c r="P278" s="11" t="s">
        <v>1241</v>
      </c>
      <c r="Q278" s="11"/>
      <c r="R278" s="11" t="s">
        <v>1249</v>
      </c>
      <c r="S278" s="11" t="s">
        <v>1247</v>
      </c>
      <c r="T278" s="11" t="s">
        <v>461</v>
      </c>
      <c r="U278" s="11" t="s">
        <v>1247</v>
      </c>
      <c r="V278" s="11" t="s">
        <v>461</v>
      </c>
      <c r="W278" s="26" t="s">
        <v>695</v>
      </c>
    </row>
    <row r="279" spans="13:23" x14ac:dyDescent="0.35">
      <c r="M279" s="11" t="s">
        <v>1239</v>
      </c>
      <c r="N279" s="11" t="s">
        <v>477</v>
      </c>
      <c r="O279" s="11" t="s">
        <v>477</v>
      </c>
      <c r="P279" s="11" t="s">
        <v>1243</v>
      </c>
      <c r="Q279" s="11"/>
      <c r="R279" s="11" t="s">
        <v>1247</v>
      </c>
      <c r="S279" s="11" t="s">
        <v>1247</v>
      </c>
      <c r="T279" s="11" t="s">
        <v>461</v>
      </c>
      <c r="U279" s="11" t="s">
        <v>1247</v>
      </c>
      <c r="V279" s="11" t="s">
        <v>461</v>
      </c>
      <c r="W279" s="26" t="s">
        <v>695</v>
      </c>
    </row>
    <row r="280" spans="13:23" x14ac:dyDescent="0.35">
      <c r="M280" s="11" t="s">
        <v>1239</v>
      </c>
      <c r="N280" s="11" t="s">
        <v>477</v>
      </c>
      <c r="O280" s="11" t="s">
        <v>477</v>
      </c>
      <c r="P280" s="11" t="s">
        <v>1243</v>
      </c>
      <c r="Q280" s="11"/>
      <c r="R280" s="11" t="s">
        <v>1247</v>
      </c>
      <c r="S280" s="11" t="s">
        <v>1247</v>
      </c>
      <c r="T280" s="11" t="s">
        <v>461</v>
      </c>
      <c r="U280" s="11" t="s">
        <v>1247</v>
      </c>
      <c r="V280" s="11" t="s">
        <v>461</v>
      </c>
      <c r="W280" s="26" t="s">
        <v>695</v>
      </c>
    </row>
    <row r="281" spans="13:23" x14ac:dyDescent="0.35">
      <c r="M281" s="11" t="s">
        <v>1239</v>
      </c>
      <c r="N281" s="11" t="s">
        <v>477</v>
      </c>
      <c r="O281" s="11" t="s">
        <v>477</v>
      </c>
      <c r="P281" s="11" t="s">
        <v>313</v>
      </c>
      <c r="Q281" s="11"/>
      <c r="R281" s="11" t="s">
        <v>1247</v>
      </c>
      <c r="S281" s="11" t="s">
        <v>1247</v>
      </c>
      <c r="T281" s="11" t="s">
        <v>461</v>
      </c>
      <c r="U281" s="11" t="s">
        <v>1247</v>
      </c>
      <c r="V281" s="11" t="s">
        <v>461</v>
      </c>
      <c r="W281" s="26" t="s">
        <v>695</v>
      </c>
    </row>
    <row r="282" spans="13:23" x14ac:dyDescent="0.35">
      <c r="M282" s="11" t="s">
        <v>1239</v>
      </c>
      <c r="N282" s="11" t="s">
        <v>477</v>
      </c>
      <c r="O282" s="11" t="s">
        <v>477</v>
      </c>
      <c r="P282" s="11" t="s">
        <v>518</v>
      </c>
      <c r="Q282" s="11"/>
      <c r="R282" s="11" t="s">
        <v>1247</v>
      </c>
      <c r="S282" s="11" t="s">
        <v>1247</v>
      </c>
      <c r="T282" s="11" t="s">
        <v>461</v>
      </c>
      <c r="U282" s="11" t="s">
        <v>1247</v>
      </c>
      <c r="V282" s="11" t="s">
        <v>461</v>
      </c>
      <c r="W282" s="26" t="s">
        <v>695</v>
      </c>
    </row>
    <row r="283" spans="13:23" x14ac:dyDescent="0.35">
      <c r="M283" s="11" t="s">
        <v>1239</v>
      </c>
      <c r="N283" s="11" t="s">
        <v>477</v>
      </c>
      <c r="O283" s="11" t="s">
        <v>477</v>
      </c>
      <c r="P283" s="11" t="s">
        <v>525</v>
      </c>
      <c r="Q283" s="11"/>
      <c r="R283" s="11" t="s">
        <v>1247</v>
      </c>
      <c r="S283" s="11" t="s">
        <v>1247</v>
      </c>
      <c r="T283" s="11" t="s">
        <v>461</v>
      </c>
      <c r="U283" s="11" t="s">
        <v>1247</v>
      </c>
      <c r="V283" s="11" t="s">
        <v>461</v>
      </c>
      <c r="W283" s="26" t="s">
        <v>695</v>
      </c>
    </row>
    <row r="284" spans="13:23" x14ac:dyDescent="0.35">
      <c r="M284" s="11" t="s">
        <v>1239</v>
      </c>
      <c r="N284" s="11" t="s">
        <v>477</v>
      </c>
      <c r="O284" s="11" t="s">
        <v>477</v>
      </c>
      <c r="P284" s="11" t="s">
        <v>478</v>
      </c>
      <c r="Q284" s="11"/>
      <c r="R284" s="11" t="s">
        <v>1247</v>
      </c>
      <c r="S284" s="11" t="s">
        <v>1247</v>
      </c>
      <c r="T284" s="11" t="s">
        <v>461</v>
      </c>
      <c r="U284" s="11" t="s">
        <v>1247</v>
      </c>
      <c r="V284" s="11" t="s">
        <v>461</v>
      </c>
      <c r="W284" s="26" t="s">
        <v>695</v>
      </c>
    </row>
    <row r="285" spans="13:23" x14ac:dyDescent="0.35">
      <c r="M285" s="11" t="s">
        <v>1239</v>
      </c>
      <c r="N285" s="11" t="s">
        <v>477</v>
      </c>
      <c r="O285" s="11" t="s">
        <v>477</v>
      </c>
      <c r="P285" s="11" t="s">
        <v>509</v>
      </c>
      <c r="Q285" s="11"/>
      <c r="R285" s="11" t="s">
        <v>1247</v>
      </c>
      <c r="S285" s="11" t="s">
        <v>1247</v>
      </c>
      <c r="T285" s="11" t="s">
        <v>461</v>
      </c>
      <c r="U285" s="11" t="s">
        <v>1247</v>
      </c>
      <c r="V285" s="11" t="s">
        <v>461</v>
      </c>
      <c r="W285" s="26" t="s">
        <v>695</v>
      </c>
    </row>
    <row r="286" spans="13:23" x14ac:dyDescent="0.35">
      <c r="M286" s="11" t="s">
        <v>1239</v>
      </c>
      <c r="N286" s="11" t="s">
        <v>477</v>
      </c>
      <c r="O286" s="11" t="s">
        <v>477</v>
      </c>
      <c r="P286" s="11" t="s">
        <v>1241</v>
      </c>
      <c r="Q286" s="11"/>
      <c r="R286" s="11" t="s">
        <v>1249</v>
      </c>
      <c r="S286" s="11" t="s">
        <v>1247</v>
      </c>
      <c r="T286" s="11" t="s">
        <v>461</v>
      </c>
      <c r="U286" s="11" t="s">
        <v>1247</v>
      </c>
      <c r="V286" s="11" t="s">
        <v>461</v>
      </c>
      <c r="W286" s="26" t="s">
        <v>695</v>
      </c>
    </row>
    <row r="287" spans="13:23" x14ac:dyDescent="0.35">
      <c r="M287" s="11" t="s">
        <v>1239</v>
      </c>
      <c r="N287" s="11" t="s">
        <v>477</v>
      </c>
      <c r="O287" s="11" t="s">
        <v>477</v>
      </c>
      <c r="P287" s="11" t="s">
        <v>1241</v>
      </c>
      <c r="Q287" s="11"/>
      <c r="R287" s="11" t="s">
        <v>1249</v>
      </c>
      <c r="S287" s="11" t="s">
        <v>1247</v>
      </c>
      <c r="T287" s="11" t="s">
        <v>461</v>
      </c>
      <c r="U287" s="11" t="s">
        <v>1247</v>
      </c>
      <c r="V287" s="11" t="s">
        <v>461</v>
      </c>
      <c r="W287" s="26" t="s">
        <v>695</v>
      </c>
    </row>
    <row r="288" spans="13:23" x14ac:dyDescent="0.35">
      <c r="M288" s="11" t="s">
        <v>1239</v>
      </c>
      <c r="N288" s="11" t="s">
        <v>477</v>
      </c>
      <c r="O288" s="11" t="s">
        <v>477</v>
      </c>
      <c r="P288" s="11" t="s">
        <v>1248</v>
      </c>
      <c r="Q288" s="11"/>
      <c r="R288" s="11" t="s">
        <v>1247</v>
      </c>
      <c r="S288" s="11" t="s">
        <v>1247</v>
      </c>
      <c r="T288" s="11" t="s">
        <v>461</v>
      </c>
      <c r="U288" s="11" t="s">
        <v>1247</v>
      </c>
      <c r="V288" s="11" t="s">
        <v>461</v>
      </c>
      <c r="W288" s="26" t="s">
        <v>695</v>
      </c>
    </row>
    <row r="289" spans="13:23" x14ac:dyDescent="0.35">
      <c r="M289" s="11" t="s">
        <v>1239</v>
      </c>
      <c r="N289" s="11" t="s">
        <v>477</v>
      </c>
      <c r="O289" s="11" t="s">
        <v>477</v>
      </c>
      <c r="P289" s="11" t="s">
        <v>1243</v>
      </c>
      <c r="Q289" s="11"/>
      <c r="R289" s="11" t="s">
        <v>1246</v>
      </c>
      <c r="S289" s="11" t="s">
        <v>1246</v>
      </c>
      <c r="T289" s="11" t="s">
        <v>461</v>
      </c>
      <c r="U289" s="11" t="s">
        <v>1246</v>
      </c>
      <c r="V289" s="11" t="s">
        <v>461</v>
      </c>
      <c r="W289" s="26" t="s">
        <v>695</v>
      </c>
    </row>
    <row r="290" spans="13:23" x14ac:dyDescent="0.35">
      <c r="M290" s="11" t="s">
        <v>1239</v>
      </c>
      <c r="N290" s="11" t="s">
        <v>477</v>
      </c>
      <c r="O290" s="11" t="s">
        <v>477</v>
      </c>
      <c r="P290" s="11" t="s">
        <v>1243</v>
      </c>
      <c r="Q290" s="11"/>
      <c r="R290" s="11" t="s">
        <v>1246</v>
      </c>
      <c r="S290" s="11" t="s">
        <v>1246</v>
      </c>
      <c r="T290" s="11" t="s">
        <v>461</v>
      </c>
      <c r="U290" s="11" t="s">
        <v>1246</v>
      </c>
      <c r="V290" s="11" t="s">
        <v>461</v>
      </c>
      <c r="W290" s="26" t="s">
        <v>695</v>
      </c>
    </row>
    <row r="291" spans="13:23" x14ac:dyDescent="0.35">
      <c r="M291" s="11" t="s">
        <v>1239</v>
      </c>
      <c r="N291" s="11" t="s">
        <v>477</v>
      </c>
      <c r="O291" s="11" t="s">
        <v>477</v>
      </c>
      <c r="P291" s="11" t="s">
        <v>313</v>
      </c>
      <c r="Q291" s="11"/>
      <c r="R291" s="11" t="s">
        <v>1246</v>
      </c>
      <c r="S291" s="11" t="s">
        <v>1246</v>
      </c>
      <c r="T291" s="11" t="s">
        <v>461</v>
      </c>
      <c r="U291" s="11" t="s">
        <v>1246</v>
      </c>
      <c r="V291" s="11" t="s">
        <v>461</v>
      </c>
      <c r="W291" s="26" t="s">
        <v>695</v>
      </c>
    </row>
    <row r="292" spans="13:23" x14ac:dyDescent="0.35">
      <c r="M292" s="11" t="s">
        <v>1239</v>
      </c>
      <c r="N292" s="11" t="s">
        <v>477</v>
      </c>
      <c r="O292" s="11" t="s">
        <v>477</v>
      </c>
      <c r="P292" s="11" t="s">
        <v>313</v>
      </c>
      <c r="Q292" s="11"/>
      <c r="R292" s="11" t="s">
        <v>1246</v>
      </c>
      <c r="S292" s="11" t="s">
        <v>1246</v>
      </c>
      <c r="T292" s="11" t="s">
        <v>461</v>
      </c>
      <c r="U292" s="11" t="s">
        <v>1246</v>
      </c>
      <c r="V292" s="11" t="s">
        <v>461</v>
      </c>
      <c r="W292" s="26" t="s">
        <v>695</v>
      </c>
    </row>
    <row r="293" spans="13:23" x14ac:dyDescent="0.35">
      <c r="M293" s="11" t="s">
        <v>1239</v>
      </c>
      <c r="N293" s="11" t="s">
        <v>477</v>
      </c>
      <c r="O293" s="11" t="s">
        <v>477</v>
      </c>
      <c r="P293" s="11" t="s">
        <v>518</v>
      </c>
      <c r="Q293" s="11"/>
      <c r="R293" s="11" t="s">
        <v>1246</v>
      </c>
      <c r="S293" s="11" t="s">
        <v>1246</v>
      </c>
      <c r="T293" s="11" t="s">
        <v>461</v>
      </c>
      <c r="U293" s="11" t="s">
        <v>1246</v>
      </c>
      <c r="V293" s="11" t="s">
        <v>461</v>
      </c>
      <c r="W293" s="26" t="s">
        <v>695</v>
      </c>
    </row>
    <row r="294" spans="13:23" x14ac:dyDescent="0.35">
      <c r="M294" s="11" t="s">
        <v>1239</v>
      </c>
      <c r="N294" s="11" t="s">
        <v>477</v>
      </c>
      <c r="O294" s="11" t="s">
        <v>477</v>
      </c>
      <c r="P294" s="11" t="s">
        <v>525</v>
      </c>
      <c r="Q294" s="11"/>
      <c r="R294" s="11" t="s">
        <v>1246</v>
      </c>
      <c r="S294" s="11" t="s">
        <v>1246</v>
      </c>
      <c r="T294" s="11" t="s">
        <v>461</v>
      </c>
      <c r="U294" s="11" t="s">
        <v>1246</v>
      </c>
      <c r="V294" s="11" t="s">
        <v>461</v>
      </c>
      <c r="W294" s="26" t="s">
        <v>695</v>
      </c>
    </row>
    <row r="295" spans="13:23" x14ac:dyDescent="0.35">
      <c r="M295" s="11" t="s">
        <v>1239</v>
      </c>
      <c r="N295" s="11" t="s">
        <v>477</v>
      </c>
      <c r="O295" s="11" t="s">
        <v>477</v>
      </c>
      <c r="P295" s="11" t="s">
        <v>478</v>
      </c>
      <c r="Q295" s="11"/>
      <c r="R295" s="11" t="s">
        <v>1246</v>
      </c>
      <c r="S295" s="11" t="s">
        <v>1246</v>
      </c>
      <c r="T295" s="11" t="s">
        <v>461</v>
      </c>
      <c r="U295" s="11" t="s">
        <v>1246</v>
      </c>
      <c r="V295" s="11" t="s">
        <v>461</v>
      </c>
      <c r="W295" s="26" t="s">
        <v>695</v>
      </c>
    </row>
    <row r="296" spans="13:23" x14ac:dyDescent="0.35">
      <c r="M296" s="11" t="s">
        <v>1239</v>
      </c>
      <c r="N296" s="11" t="s">
        <v>477</v>
      </c>
      <c r="O296" s="11" t="s">
        <v>477</v>
      </c>
      <c r="P296" s="11" t="s">
        <v>509</v>
      </c>
      <c r="Q296" s="11"/>
      <c r="R296" s="11" t="s">
        <v>1246</v>
      </c>
      <c r="S296" s="11" t="s">
        <v>1246</v>
      </c>
      <c r="T296" s="11" t="s">
        <v>461</v>
      </c>
      <c r="U296" s="11" t="s">
        <v>1246</v>
      </c>
      <c r="V296" s="11" t="s">
        <v>461</v>
      </c>
      <c r="W296" s="26" t="s">
        <v>695</v>
      </c>
    </row>
    <row r="297" spans="13:23" x14ac:dyDescent="0.35">
      <c r="M297" s="11" t="s">
        <v>1239</v>
      </c>
      <c r="N297" s="11" t="s">
        <v>477</v>
      </c>
      <c r="O297" s="11" t="s">
        <v>477</v>
      </c>
      <c r="P297" s="11" t="s">
        <v>1241</v>
      </c>
      <c r="Q297" s="11"/>
      <c r="R297" s="11" t="s">
        <v>1246</v>
      </c>
      <c r="S297" s="11" t="s">
        <v>1246</v>
      </c>
      <c r="T297" s="11" t="s">
        <v>461</v>
      </c>
      <c r="U297" s="11" t="s">
        <v>1246</v>
      </c>
      <c r="V297" s="11" t="s">
        <v>461</v>
      </c>
      <c r="W297" s="26" t="s">
        <v>695</v>
      </c>
    </row>
    <row r="298" spans="13:23" x14ac:dyDescent="0.35">
      <c r="M298" s="11" t="s">
        <v>1239</v>
      </c>
      <c r="N298" s="11" t="s">
        <v>477</v>
      </c>
      <c r="O298" s="11" t="s">
        <v>477</v>
      </c>
      <c r="P298" s="11" t="s">
        <v>1243</v>
      </c>
      <c r="Q298" s="11"/>
      <c r="R298" s="11" t="s">
        <v>1244</v>
      </c>
      <c r="S298" s="11" t="s">
        <v>1244</v>
      </c>
      <c r="T298" s="11" t="s">
        <v>461</v>
      </c>
      <c r="U298" s="11" t="s">
        <v>1244</v>
      </c>
      <c r="V298" s="11" t="s">
        <v>1245</v>
      </c>
      <c r="W298" s="26" t="s">
        <v>695</v>
      </c>
    </row>
    <row r="299" spans="13:23" x14ac:dyDescent="0.35">
      <c r="M299" s="11" t="s">
        <v>1239</v>
      </c>
      <c r="N299" s="11" t="s">
        <v>477</v>
      </c>
      <c r="O299" s="11" t="s">
        <v>477</v>
      </c>
      <c r="P299" s="11" t="s">
        <v>1243</v>
      </c>
      <c r="Q299" s="11"/>
      <c r="R299" s="11" t="s">
        <v>1244</v>
      </c>
      <c r="S299" s="11" t="s">
        <v>1244</v>
      </c>
      <c r="T299" s="11" t="s">
        <v>461</v>
      </c>
      <c r="U299" s="11" t="s">
        <v>1244</v>
      </c>
      <c r="V299" s="11" t="s">
        <v>1245</v>
      </c>
      <c r="W299" s="26" t="s">
        <v>695</v>
      </c>
    </row>
    <row r="300" spans="13:23" x14ac:dyDescent="0.35">
      <c r="M300" s="11" t="s">
        <v>1239</v>
      </c>
      <c r="N300" s="11" t="s">
        <v>477</v>
      </c>
      <c r="O300" s="11" t="s">
        <v>477</v>
      </c>
      <c r="P300" s="11" t="s">
        <v>313</v>
      </c>
      <c r="Q300" s="11"/>
      <c r="R300" s="11" t="s">
        <v>1244</v>
      </c>
      <c r="S300" s="11" t="s">
        <v>1244</v>
      </c>
      <c r="T300" s="11" t="s">
        <v>461</v>
      </c>
      <c r="U300" s="11" t="s">
        <v>1244</v>
      </c>
      <c r="V300" s="11" t="s">
        <v>1245</v>
      </c>
      <c r="W300" s="26" t="s">
        <v>695</v>
      </c>
    </row>
    <row r="301" spans="13:23" x14ac:dyDescent="0.35">
      <c r="M301" s="11" t="s">
        <v>1239</v>
      </c>
      <c r="N301" s="11" t="s">
        <v>477</v>
      </c>
      <c r="O301" s="11" t="s">
        <v>477</v>
      </c>
      <c r="P301" s="11" t="s">
        <v>313</v>
      </c>
      <c r="Q301" s="11"/>
      <c r="R301" s="11" t="s">
        <v>1244</v>
      </c>
      <c r="S301" s="11" t="s">
        <v>1244</v>
      </c>
      <c r="T301" s="11" t="s">
        <v>461</v>
      </c>
      <c r="U301" s="11" t="s">
        <v>1244</v>
      </c>
      <c r="V301" s="11" t="s">
        <v>1245</v>
      </c>
      <c r="W301" s="26" t="s">
        <v>695</v>
      </c>
    </row>
    <row r="302" spans="13:23" x14ac:dyDescent="0.35">
      <c r="M302" s="11" t="s">
        <v>1239</v>
      </c>
      <c r="N302" s="11" t="s">
        <v>477</v>
      </c>
      <c r="O302" s="11" t="s">
        <v>477</v>
      </c>
      <c r="P302" s="11" t="s">
        <v>518</v>
      </c>
      <c r="Q302" s="11"/>
      <c r="R302" s="11" t="s">
        <v>1244</v>
      </c>
      <c r="S302" s="11" t="s">
        <v>1244</v>
      </c>
      <c r="T302" s="11" t="s">
        <v>461</v>
      </c>
      <c r="U302" s="11" t="s">
        <v>1244</v>
      </c>
      <c r="V302" s="11" t="s">
        <v>1245</v>
      </c>
      <c r="W302" s="26" t="s">
        <v>695</v>
      </c>
    </row>
    <row r="303" spans="13:23" x14ac:dyDescent="0.35">
      <c r="M303" s="11" t="s">
        <v>1239</v>
      </c>
      <c r="N303" s="11" t="s">
        <v>477</v>
      </c>
      <c r="O303" s="11" t="s">
        <v>477</v>
      </c>
      <c r="P303" s="11" t="s">
        <v>525</v>
      </c>
      <c r="Q303" s="11"/>
      <c r="R303" s="11" t="s">
        <v>1244</v>
      </c>
      <c r="S303" s="11" t="s">
        <v>1244</v>
      </c>
      <c r="T303" s="11" t="s">
        <v>461</v>
      </c>
      <c r="U303" s="11" t="s">
        <v>1244</v>
      </c>
      <c r="V303" s="11" t="s">
        <v>1245</v>
      </c>
      <c r="W303" s="26" t="s">
        <v>695</v>
      </c>
    </row>
    <row r="304" spans="13:23" x14ac:dyDescent="0.35">
      <c r="M304" s="11" t="s">
        <v>1239</v>
      </c>
      <c r="N304" s="11" t="s">
        <v>477</v>
      </c>
      <c r="O304" s="11" t="s">
        <v>477</v>
      </c>
      <c r="P304" s="11" t="s">
        <v>478</v>
      </c>
      <c r="Q304" s="11"/>
      <c r="R304" s="11" t="s">
        <v>1244</v>
      </c>
      <c r="S304" s="11" t="s">
        <v>1244</v>
      </c>
      <c r="T304" s="11" t="s">
        <v>461</v>
      </c>
      <c r="U304" s="11" t="s">
        <v>1244</v>
      </c>
      <c r="V304" s="11" t="s">
        <v>1245</v>
      </c>
      <c r="W304" s="26" t="s">
        <v>695</v>
      </c>
    </row>
    <row r="305" spans="13:23" x14ac:dyDescent="0.35">
      <c r="M305" s="11" t="s">
        <v>1239</v>
      </c>
      <c r="N305" s="11" t="s">
        <v>477</v>
      </c>
      <c r="O305" s="11" t="s">
        <v>477</v>
      </c>
      <c r="P305" s="11" t="s">
        <v>509</v>
      </c>
      <c r="Q305" s="11"/>
      <c r="R305" s="11" t="s">
        <v>1244</v>
      </c>
      <c r="S305" s="11" t="s">
        <v>1244</v>
      </c>
      <c r="T305" s="11" t="s">
        <v>461</v>
      </c>
      <c r="U305" s="11" t="s">
        <v>1244</v>
      </c>
      <c r="V305" s="11" t="s">
        <v>1245</v>
      </c>
      <c r="W305" s="26" t="s">
        <v>695</v>
      </c>
    </row>
    <row r="306" spans="13:23" x14ac:dyDescent="0.35">
      <c r="M306" s="11" t="s">
        <v>1239</v>
      </c>
      <c r="N306" s="11" t="s">
        <v>477</v>
      </c>
      <c r="O306" s="11" t="s">
        <v>477</v>
      </c>
      <c r="P306" s="11" t="s">
        <v>1241</v>
      </c>
      <c r="Q306" s="11"/>
      <c r="R306" s="11" t="s">
        <v>1244</v>
      </c>
      <c r="S306" s="11" t="s">
        <v>1244</v>
      </c>
      <c r="T306" s="11" t="s">
        <v>461</v>
      </c>
      <c r="U306" s="11" t="s">
        <v>1244</v>
      </c>
      <c r="V306" s="11" t="s">
        <v>1245</v>
      </c>
      <c r="W306" s="26" t="s">
        <v>695</v>
      </c>
    </row>
    <row r="307" spans="13:23" x14ac:dyDescent="0.35">
      <c r="M307" s="11" t="s">
        <v>1239</v>
      </c>
      <c r="N307" s="11" t="s">
        <v>477</v>
      </c>
      <c r="O307" s="11" t="s">
        <v>477</v>
      </c>
      <c r="P307" s="11" t="s">
        <v>1243</v>
      </c>
      <c r="Q307" s="11"/>
      <c r="R307" s="11" t="s">
        <v>1242</v>
      </c>
      <c r="S307" s="11" t="s">
        <v>1242</v>
      </c>
      <c r="T307" s="11" t="s">
        <v>461</v>
      </c>
      <c r="U307" s="11" t="s">
        <v>1242</v>
      </c>
      <c r="V307" s="11" t="s">
        <v>1245</v>
      </c>
      <c r="W307" s="26" t="s">
        <v>695</v>
      </c>
    </row>
    <row r="308" spans="13:23" x14ac:dyDescent="0.35">
      <c r="M308" s="11" t="s">
        <v>1239</v>
      </c>
      <c r="N308" s="11" t="s">
        <v>477</v>
      </c>
      <c r="O308" s="11" t="s">
        <v>477</v>
      </c>
      <c r="P308" s="11" t="s">
        <v>1243</v>
      </c>
      <c r="Q308" s="11"/>
      <c r="R308" s="11" t="s">
        <v>1242</v>
      </c>
      <c r="S308" s="11" t="s">
        <v>1242</v>
      </c>
      <c r="T308" s="11" t="s">
        <v>461</v>
      </c>
      <c r="U308" s="11" t="s">
        <v>1242</v>
      </c>
      <c r="V308" s="11" t="s">
        <v>1245</v>
      </c>
      <c r="W308" s="26" t="s">
        <v>695</v>
      </c>
    </row>
    <row r="309" spans="13:23" x14ac:dyDescent="0.35">
      <c r="M309" s="11" t="s">
        <v>1239</v>
      </c>
      <c r="N309" s="11" t="s">
        <v>477</v>
      </c>
      <c r="O309" s="11" t="s">
        <v>477</v>
      </c>
      <c r="P309" s="11" t="s">
        <v>313</v>
      </c>
      <c r="Q309" s="11"/>
      <c r="R309" s="11" t="s">
        <v>1242</v>
      </c>
      <c r="S309" s="11" t="s">
        <v>1242</v>
      </c>
      <c r="T309" s="11" t="s">
        <v>461</v>
      </c>
      <c r="U309" s="11" t="s">
        <v>1242</v>
      </c>
      <c r="V309" s="11" t="s">
        <v>1245</v>
      </c>
      <c r="W309" s="26" t="s">
        <v>695</v>
      </c>
    </row>
    <row r="310" spans="13:23" x14ac:dyDescent="0.35">
      <c r="M310" s="11" t="s">
        <v>1239</v>
      </c>
      <c r="N310" s="11" t="s">
        <v>477</v>
      </c>
      <c r="O310" s="11" t="s">
        <v>477</v>
      </c>
      <c r="P310" s="11" t="s">
        <v>313</v>
      </c>
      <c r="Q310" s="11"/>
      <c r="R310" s="11" t="s">
        <v>1242</v>
      </c>
      <c r="S310" s="11" t="s">
        <v>1242</v>
      </c>
      <c r="T310" s="11" t="s">
        <v>461</v>
      </c>
      <c r="U310" s="11" t="s">
        <v>1242</v>
      </c>
      <c r="V310" s="11" t="s">
        <v>1245</v>
      </c>
      <c r="W310" s="26" t="s">
        <v>695</v>
      </c>
    </row>
    <row r="311" spans="13:23" x14ac:dyDescent="0.35">
      <c r="M311" s="11" t="s">
        <v>1239</v>
      </c>
      <c r="N311" s="11" t="s">
        <v>477</v>
      </c>
      <c r="O311" s="11" t="s">
        <v>477</v>
      </c>
      <c r="P311" s="11" t="s">
        <v>518</v>
      </c>
      <c r="Q311" s="11"/>
      <c r="R311" s="11" t="s">
        <v>1242</v>
      </c>
      <c r="S311" s="11" t="s">
        <v>1242</v>
      </c>
      <c r="T311" s="11" t="s">
        <v>461</v>
      </c>
      <c r="U311" s="11" t="s">
        <v>1242</v>
      </c>
      <c r="V311" s="11" t="s">
        <v>1245</v>
      </c>
      <c r="W311" s="26" t="s">
        <v>695</v>
      </c>
    </row>
    <row r="312" spans="13:23" x14ac:dyDescent="0.35">
      <c r="M312" s="11" t="s">
        <v>1239</v>
      </c>
      <c r="N312" s="11" t="s">
        <v>477</v>
      </c>
      <c r="O312" s="11" t="s">
        <v>477</v>
      </c>
      <c r="P312" s="11" t="s">
        <v>525</v>
      </c>
      <c r="Q312" s="11"/>
      <c r="R312" s="11" t="s">
        <v>1242</v>
      </c>
      <c r="S312" s="11" t="s">
        <v>1242</v>
      </c>
      <c r="T312" s="11" t="s">
        <v>461</v>
      </c>
      <c r="U312" s="11" t="s">
        <v>1242</v>
      </c>
      <c r="V312" s="11" t="s">
        <v>1245</v>
      </c>
      <c r="W312" s="26" t="s">
        <v>695</v>
      </c>
    </row>
    <row r="313" spans="13:23" x14ac:dyDescent="0.35">
      <c r="M313" s="11" t="s">
        <v>1239</v>
      </c>
      <c r="N313" s="11" t="s">
        <v>477</v>
      </c>
      <c r="O313" s="11" t="s">
        <v>477</v>
      </c>
      <c r="P313" s="11" t="s">
        <v>478</v>
      </c>
      <c r="Q313" s="11"/>
      <c r="R313" s="11" t="s">
        <v>1242</v>
      </c>
      <c r="S313" s="11" t="s">
        <v>1242</v>
      </c>
      <c r="T313" s="11" t="s">
        <v>461</v>
      </c>
      <c r="U313" s="11" t="s">
        <v>1242</v>
      </c>
      <c r="V313" s="11" t="s">
        <v>1245</v>
      </c>
      <c r="W313" s="26" t="s">
        <v>695</v>
      </c>
    </row>
    <row r="314" spans="13:23" x14ac:dyDescent="0.35">
      <c r="M314" s="11" t="s">
        <v>1239</v>
      </c>
      <c r="N314" s="11" t="s">
        <v>477</v>
      </c>
      <c r="O314" s="11" t="s">
        <v>477</v>
      </c>
      <c r="P314" s="11" t="s">
        <v>509</v>
      </c>
      <c r="Q314" s="11"/>
      <c r="R314" s="11" t="s">
        <v>1242</v>
      </c>
      <c r="S314" s="11" t="s">
        <v>1242</v>
      </c>
      <c r="T314" s="11" t="s">
        <v>461</v>
      </c>
      <c r="U314" s="11" t="s">
        <v>1242</v>
      </c>
      <c r="V314" s="11" t="s">
        <v>1245</v>
      </c>
      <c r="W314" s="26" t="s">
        <v>695</v>
      </c>
    </row>
    <row r="315" spans="13:23" x14ac:dyDescent="0.35">
      <c r="M315" s="11" t="s">
        <v>1239</v>
      </c>
      <c r="N315" s="11" t="s">
        <v>477</v>
      </c>
      <c r="O315" s="11" t="s">
        <v>477</v>
      </c>
      <c r="P315" s="11" t="s">
        <v>1241</v>
      </c>
      <c r="Q315" s="11"/>
      <c r="R315" s="11" t="s">
        <v>1242</v>
      </c>
      <c r="S315" s="11" t="s">
        <v>1242</v>
      </c>
      <c r="T315" s="11" t="s">
        <v>461</v>
      </c>
      <c r="U315" s="11" t="s">
        <v>1242</v>
      </c>
      <c r="V315" s="11" t="s">
        <v>1245</v>
      </c>
      <c r="W315" s="26" t="s">
        <v>695</v>
      </c>
    </row>
    <row r="316" spans="13:23" x14ac:dyDescent="0.35">
      <c r="M316" s="11" t="s">
        <v>1239</v>
      </c>
      <c r="N316" s="11" t="s">
        <v>477</v>
      </c>
      <c r="O316" s="11" t="s">
        <v>477</v>
      </c>
      <c r="P316" s="11" t="s">
        <v>313</v>
      </c>
      <c r="Q316" s="11"/>
      <c r="R316" s="11" t="s">
        <v>1240</v>
      </c>
      <c r="S316" s="11" t="s">
        <v>1240</v>
      </c>
      <c r="T316" s="11" t="s">
        <v>461</v>
      </c>
      <c r="U316" s="11" t="s">
        <v>1240</v>
      </c>
      <c r="V316" s="11" t="s">
        <v>1245</v>
      </c>
      <c r="W316" s="26" t="s">
        <v>695</v>
      </c>
    </row>
    <row r="317" spans="13:23" x14ac:dyDescent="0.35">
      <c r="M317" s="11" t="s">
        <v>1239</v>
      </c>
      <c r="N317" s="11" t="s">
        <v>477</v>
      </c>
      <c r="O317" s="11" t="s">
        <v>477</v>
      </c>
      <c r="P317" s="11" t="s">
        <v>518</v>
      </c>
      <c r="Q317" s="11"/>
      <c r="R317" s="11" t="s">
        <v>1240</v>
      </c>
      <c r="S317" s="11" t="s">
        <v>1240</v>
      </c>
      <c r="T317" s="11" t="s">
        <v>461</v>
      </c>
      <c r="U317" s="11" t="s">
        <v>1240</v>
      </c>
      <c r="V317" s="11" t="s">
        <v>1245</v>
      </c>
      <c r="W317" s="26" t="s">
        <v>695</v>
      </c>
    </row>
    <row r="318" spans="13:23" x14ac:dyDescent="0.35">
      <c r="M318" s="11" t="s">
        <v>1239</v>
      </c>
      <c r="N318" s="11" t="s">
        <v>477</v>
      </c>
      <c r="O318" s="11" t="s">
        <v>477</v>
      </c>
      <c r="P318" s="11" t="s">
        <v>525</v>
      </c>
      <c r="Q318" s="11"/>
      <c r="R318" s="11" t="s">
        <v>1240</v>
      </c>
      <c r="S318" s="11" t="s">
        <v>1240</v>
      </c>
      <c r="T318" s="11" t="s">
        <v>461</v>
      </c>
      <c r="U318" s="11" t="s">
        <v>1240</v>
      </c>
      <c r="V318" s="11" t="s">
        <v>1245</v>
      </c>
      <c r="W318" s="26" t="s">
        <v>695</v>
      </c>
    </row>
    <row r="319" spans="13:23" x14ac:dyDescent="0.35">
      <c r="M319" s="11" t="s">
        <v>1239</v>
      </c>
      <c r="N319" s="11" t="s">
        <v>477</v>
      </c>
      <c r="O319" s="11" t="s">
        <v>477</v>
      </c>
      <c r="P319" s="11" t="s">
        <v>478</v>
      </c>
      <c r="Q319" s="11"/>
      <c r="R319" s="11" t="s">
        <v>1240</v>
      </c>
      <c r="S319" s="11" t="s">
        <v>1240</v>
      </c>
      <c r="T319" s="11" t="s">
        <v>461</v>
      </c>
      <c r="U319" s="11" t="s">
        <v>1240</v>
      </c>
      <c r="V319" s="11" t="s">
        <v>1245</v>
      </c>
      <c r="W319" s="26" t="s">
        <v>695</v>
      </c>
    </row>
    <row r="320" spans="13:23" x14ac:dyDescent="0.35">
      <c r="M320" s="11" t="s">
        <v>1239</v>
      </c>
      <c r="N320" s="11" t="s">
        <v>477</v>
      </c>
      <c r="O320" s="11" t="s">
        <v>477</v>
      </c>
      <c r="P320" s="11" t="s">
        <v>509</v>
      </c>
      <c r="Q320" s="11"/>
      <c r="R320" s="11" t="s">
        <v>1240</v>
      </c>
      <c r="S320" s="11" t="s">
        <v>1240</v>
      </c>
      <c r="T320" s="11" t="s">
        <v>461</v>
      </c>
      <c r="U320" s="11" t="s">
        <v>1240</v>
      </c>
      <c r="V320" s="11" t="s">
        <v>1245</v>
      </c>
      <c r="W320" s="26" t="s">
        <v>695</v>
      </c>
    </row>
    <row r="321" spans="13:23" x14ac:dyDescent="0.35">
      <c r="M321" s="11" t="s">
        <v>1239</v>
      </c>
      <c r="N321" s="11" t="s">
        <v>477</v>
      </c>
      <c r="O321" s="11" t="s">
        <v>477</v>
      </c>
      <c r="P321" s="11" t="s">
        <v>1241</v>
      </c>
      <c r="Q321" s="11"/>
      <c r="R321" s="11" t="s">
        <v>1240</v>
      </c>
      <c r="S321" s="11" t="s">
        <v>1240</v>
      </c>
      <c r="T321" s="11" t="s">
        <v>461</v>
      </c>
      <c r="U321" s="11" t="s">
        <v>1240</v>
      </c>
      <c r="V321" s="11" t="s">
        <v>1245</v>
      </c>
      <c r="W321" s="26" t="s">
        <v>695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48C4C-031E-4258-9032-34B4F1291F29}">
  <sheetPr codeName="Sheet7"/>
  <dimension ref="A1:F52"/>
  <sheetViews>
    <sheetView zoomScale="60" zoomScaleNormal="60" workbookViewId="0"/>
  </sheetViews>
  <sheetFormatPr defaultRowHeight="14.5" x14ac:dyDescent="0.35"/>
  <cols>
    <col min="4" max="4" width="36.7265625" bestFit="1" customWidth="1"/>
  </cols>
  <sheetData>
    <row r="1" spans="1:5" x14ac:dyDescent="0.35">
      <c r="A1" t="s">
        <v>310</v>
      </c>
      <c r="B1" t="s">
        <v>9</v>
      </c>
      <c r="D1" t="s">
        <v>348</v>
      </c>
      <c r="E1" t="s">
        <v>1</v>
      </c>
    </row>
    <row r="2" spans="1:5" x14ac:dyDescent="0.35">
      <c r="A2" t="s">
        <v>306</v>
      </c>
      <c r="B2">
        <v>0</v>
      </c>
      <c r="D2" t="s">
        <v>314</v>
      </c>
      <c r="E2" t="s">
        <v>415</v>
      </c>
    </row>
    <row r="3" spans="1:5" x14ac:dyDescent="0.35">
      <c r="A3" t="s">
        <v>309</v>
      </c>
      <c r="B3">
        <v>29</v>
      </c>
      <c r="D3" t="s">
        <v>315</v>
      </c>
      <c r="E3" t="s">
        <v>416</v>
      </c>
    </row>
    <row r="4" spans="1:5" x14ac:dyDescent="0.35">
      <c r="A4" t="s">
        <v>384</v>
      </c>
      <c r="B4">
        <v>0</v>
      </c>
      <c r="D4" t="s">
        <v>316</v>
      </c>
      <c r="E4" t="s">
        <v>417</v>
      </c>
    </row>
    <row r="5" spans="1:5" x14ac:dyDescent="0.35">
      <c r="A5" s="12" t="s">
        <v>396</v>
      </c>
      <c r="B5">
        <v>0</v>
      </c>
      <c r="D5" t="s">
        <v>317</v>
      </c>
      <c r="E5" t="s">
        <v>418</v>
      </c>
    </row>
    <row r="6" spans="1:5" x14ac:dyDescent="0.35">
      <c r="A6" s="12" t="s">
        <v>409</v>
      </c>
      <c r="B6">
        <v>0</v>
      </c>
      <c r="D6" t="s">
        <v>318</v>
      </c>
      <c r="E6" t="s">
        <v>419</v>
      </c>
    </row>
    <row r="7" spans="1:5" x14ac:dyDescent="0.35">
      <c r="A7" t="s">
        <v>442</v>
      </c>
      <c r="B7">
        <v>4</v>
      </c>
      <c r="D7" t="s">
        <v>319</v>
      </c>
      <c r="E7" t="s">
        <v>351</v>
      </c>
    </row>
    <row r="8" spans="1:5" x14ac:dyDescent="0.35">
      <c r="A8" t="s">
        <v>441</v>
      </c>
      <c r="B8">
        <v>30</v>
      </c>
      <c r="D8" t="s">
        <v>320</v>
      </c>
      <c r="E8" t="s">
        <v>420</v>
      </c>
    </row>
    <row r="9" spans="1:5" x14ac:dyDescent="0.35">
      <c r="A9" t="s">
        <v>760</v>
      </c>
      <c r="B9">
        <v>2</v>
      </c>
      <c r="D9" t="s">
        <v>321</v>
      </c>
      <c r="E9" t="s">
        <v>360</v>
      </c>
    </row>
    <row r="10" spans="1:5" x14ac:dyDescent="0.35">
      <c r="D10" t="s">
        <v>322</v>
      </c>
      <c r="E10" t="s">
        <v>352</v>
      </c>
    </row>
    <row r="11" spans="1:5" x14ac:dyDescent="0.35">
      <c r="D11" t="s">
        <v>323</v>
      </c>
      <c r="E11" t="s">
        <v>421</v>
      </c>
    </row>
    <row r="12" spans="1:5" x14ac:dyDescent="0.35">
      <c r="D12" t="s">
        <v>324</v>
      </c>
      <c r="E12" t="s">
        <v>313</v>
      </c>
    </row>
    <row r="13" spans="1:5" x14ac:dyDescent="0.35">
      <c r="D13" t="s">
        <v>325</v>
      </c>
      <c r="E13" t="s">
        <v>422</v>
      </c>
    </row>
    <row r="14" spans="1:5" x14ac:dyDescent="0.35">
      <c r="D14" t="s">
        <v>326</v>
      </c>
      <c r="E14" t="s">
        <v>423</v>
      </c>
    </row>
    <row r="15" spans="1:5" x14ac:dyDescent="0.35">
      <c r="D15" t="s">
        <v>327</v>
      </c>
      <c r="E15" t="s">
        <v>353</v>
      </c>
    </row>
    <row r="16" spans="1:5" x14ac:dyDescent="0.35">
      <c r="D16" t="s">
        <v>328</v>
      </c>
      <c r="E16" t="s">
        <v>424</v>
      </c>
    </row>
    <row r="17" spans="4:5" x14ac:dyDescent="0.35">
      <c r="D17" t="s">
        <v>329</v>
      </c>
      <c r="E17" t="s">
        <v>425</v>
      </c>
    </row>
    <row r="18" spans="4:5" x14ac:dyDescent="0.35">
      <c r="D18" t="s">
        <v>330</v>
      </c>
      <c r="E18" t="s">
        <v>426</v>
      </c>
    </row>
    <row r="19" spans="4:5" x14ac:dyDescent="0.35">
      <c r="D19" t="s">
        <v>331</v>
      </c>
      <c r="E19" t="s">
        <v>427</v>
      </c>
    </row>
    <row r="20" spans="4:5" x14ac:dyDescent="0.35">
      <c r="D20" t="s">
        <v>332</v>
      </c>
      <c r="E20" t="s">
        <v>428</v>
      </c>
    </row>
    <row r="21" spans="4:5" x14ac:dyDescent="0.35">
      <c r="D21" t="s">
        <v>333</v>
      </c>
      <c r="E21" t="s">
        <v>354</v>
      </c>
    </row>
    <row r="22" spans="4:5" x14ac:dyDescent="0.35">
      <c r="D22" t="s">
        <v>334</v>
      </c>
      <c r="E22" t="s">
        <v>429</v>
      </c>
    </row>
    <row r="23" spans="4:5" x14ac:dyDescent="0.35">
      <c r="D23" t="s">
        <v>335</v>
      </c>
      <c r="E23" t="s">
        <v>355</v>
      </c>
    </row>
    <row r="24" spans="4:5" x14ac:dyDescent="0.35">
      <c r="D24" t="s">
        <v>336</v>
      </c>
      <c r="E24" t="s">
        <v>356</v>
      </c>
    </row>
    <row r="25" spans="4:5" x14ac:dyDescent="0.35">
      <c r="D25" t="s">
        <v>337</v>
      </c>
      <c r="E25" t="s">
        <v>430</v>
      </c>
    </row>
    <row r="26" spans="4:5" x14ac:dyDescent="0.35">
      <c r="D26" t="s">
        <v>338</v>
      </c>
      <c r="E26" t="s">
        <v>357</v>
      </c>
    </row>
    <row r="27" spans="4:5" x14ac:dyDescent="0.35">
      <c r="D27" t="s">
        <v>339</v>
      </c>
      <c r="E27" t="s">
        <v>358</v>
      </c>
    </row>
    <row r="28" spans="4:5" x14ac:dyDescent="0.35">
      <c r="D28" t="s">
        <v>340</v>
      </c>
      <c r="E28" t="s">
        <v>431</v>
      </c>
    </row>
    <row r="29" spans="4:5" x14ac:dyDescent="0.35">
      <c r="D29" t="s">
        <v>341</v>
      </c>
      <c r="E29" t="s">
        <v>432</v>
      </c>
    </row>
    <row r="30" spans="4:5" x14ac:dyDescent="0.35">
      <c r="D30" t="s">
        <v>342</v>
      </c>
      <c r="E30" t="s">
        <v>433</v>
      </c>
    </row>
    <row r="31" spans="4:5" x14ac:dyDescent="0.35">
      <c r="D31" t="s">
        <v>343</v>
      </c>
      <c r="E31" t="s">
        <v>434</v>
      </c>
    </row>
    <row r="32" spans="4:5" x14ac:dyDescent="0.35">
      <c r="D32" t="s">
        <v>344</v>
      </c>
      <c r="E32" t="s">
        <v>435</v>
      </c>
    </row>
    <row r="33" spans="4:6" x14ac:dyDescent="0.35">
      <c r="D33" t="s">
        <v>345</v>
      </c>
      <c r="E33" t="s">
        <v>359</v>
      </c>
    </row>
    <row r="34" spans="4:6" x14ac:dyDescent="0.35">
      <c r="D34" t="s">
        <v>375</v>
      </c>
      <c r="E34" t="s">
        <v>378</v>
      </c>
    </row>
    <row r="35" spans="4:6" x14ac:dyDescent="0.35">
      <c r="D35" t="s">
        <v>376</v>
      </c>
      <c r="E35" t="s">
        <v>379</v>
      </c>
    </row>
    <row r="36" spans="4:6" x14ac:dyDescent="0.35">
      <c r="D36" t="s">
        <v>377</v>
      </c>
      <c r="E36" t="s">
        <v>380</v>
      </c>
    </row>
    <row r="37" spans="4:6" x14ac:dyDescent="0.35">
      <c r="D37" t="s">
        <v>374</v>
      </c>
      <c r="E37" t="s">
        <v>381</v>
      </c>
    </row>
    <row r="38" spans="4:6" x14ac:dyDescent="0.35">
      <c r="D38" t="s">
        <v>386</v>
      </c>
      <c r="E38" t="s">
        <v>313</v>
      </c>
    </row>
    <row r="39" spans="4:6" x14ac:dyDescent="0.35">
      <c r="D39" t="s">
        <v>395</v>
      </c>
      <c r="E39" t="s">
        <v>394</v>
      </c>
    </row>
    <row r="40" spans="4:6" x14ac:dyDescent="0.35">
      <c r="D40" t="s">
        <v>386</v>
      </c>
      <c r="E40" t="s">
        <v>313</v>
      </c>
    </row>
    <row r="41" spans="4:6" x14ac:dyDescent="0.35">
      <c r="D41" t="s">
        <v>398</v>
      </c>
      <c r="E41" t="s">
        <v>1263</v>
      </c>
    </row>
    <row r="42" spans="4:6" x14ac:dyDescent="0.35">
      <c r="D42" t="s">
        <v>408</v>
      </c>
      <c r="E42" t="s">
        <v>1262</v>
      </c>
    </row>
    <row r="43" spans="4:6" x14ac:dyDescent="0.35">
      <c r="D43" t="s">
        <v>438</v>
      </c>
      <c r="E43" t="s">
        <v>313</v>
      </c>
    </row>
    <row r="44" spans="4:6" x14ac:dyDescent="0.35">
      <c r="D44" t="s">
        <v>628</v>
      </c>
      <c r="E44" t="s">
        <v>313</v>
      </c>
    </row>
    <row r="45" spans="4:6" x14ac:dyDescent="0.35">
      <c r="D45" t="s">
        <v>634</v>
      </c>
      <c r="E45" t="s">
        <v>313</v>
      </c>
    </row>
    <row r="46" spans="4:6" x14ac:dyDescent="0.35">
      <c r="D46" t="s">
        <v>639</v>
      </c>
      <c r="E46" t="s">
        <v>313</v>
      </c>
      <c r="F46" t="s">
        <v>640</v>
      </c>
    </row>
    <row r="47" spans="4:6" x14ac:dyDescent="0.35">
      <c r="D47" t="s">
        <v>759</v>
      </c>
      <c r="E47" t="s">
        <v>509</v>
      </c>
    </row>
    <row r="48" spans="4:6" x14ac:dyDescent="0.35">
      <c r="D48" t="s">
        <v>1021</v>
      </c>
      <c r="E48" t="s">
        <v>313</v>
      </c>
    </row>
    <row r="49" spans="4:5" x14ac:dyDescent="0.35">
      <c r="D49" t="s">
        <v>1024</v>
      </c>
      <c r="E49" t="s">
        <v>1025</v>
      </c>
    </row>
    <row r="50" spans="4:5" x14ac:dyDescent="0.35">
      <c r="D50" t="s">
        <v>1259</v>
      </c>
      <c r="E50" t="s">
        <v>527</v>
      </c>
    </row>
    <row r="51" spans="4:5" x14ac:dyDescent="0.35">
      <c r="D51" t="s">
        <v>1260</v>
      </c>
      <c r="E51" t="s">
        <v>552</v>
      </c>
    </row>
    <row r="52" spans="4:5" x14ac:dyDescent="0.35">
      <c r="D52" t="s">
        <v>1261</v>
      </c>
      <c r="E52" t="s">
        <v>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</vt:lpstr>
      <vt:lpstr>Recurrentes</vt:lpstr>
      <vt:lpstr>Notify</vt:lpstr>
      <vt:lpstr>Send</vt:lpstr>
      <vt:lpstr>WH</vt:lpstr>
      <vt:lpstr>-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Nieto</dc:creator>
  <cp:lastModifiedBy>Home</cp:lastModifiedBy>
  <dcterms:created xsi:type="dcterms:W3CDTF">2021-10-04T17:47:27Z</dcterms:created>
  <dcterms:modified xsi:type="dcterms:W3CDTF">2025-11-20T04:21:20Z</dcterms:modified>
</cp:coreProperties>
</file>